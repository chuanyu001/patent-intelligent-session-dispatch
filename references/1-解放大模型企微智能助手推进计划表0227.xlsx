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766"/>
  </bookViews>
  <sheets>
    <sheet name="V1.0产品定义概念" sheetId="1" r:id="rId1"/>
    <sheet name="用户产品看板-DEMO" sheetId="2" r:id="rId2"/>
    <sheet name="产品定义初版" sheetId="3" r:id="rId3"/>
    <sheet name="产品原型" sheetId="4" r:id="rId4"/>
    <sheet name="技术方案" sheetId="5" r:id="rId5"/>
    <sheet name="资源和成本" sheetId="6" r:id="rId6"/>
    <sheet name="产品规划与业务蓝图" sheetId="7" r:id="rId7"/>
    <sheet name="近期计划表" sheetId="8" r:id="rId8"/>
    <sheet name="供应商信息对比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<sst xmlns="http://schemas.openxmlformats.org/spreadsheetml/2006/main" count="327" uniqueCount="273">
  <si>
    <t>解放企微群智能运营工具</t>
  </si>
  <si>
    <r>
      <rPr>
        <b/>
        <sz val="11"/>
        <color theme="1"/>
        <rFont val="宋体"/>
        <charset val="134"/>
        <scheme val="minor"/>
      </rPr>
      <t>背景：</t>
    </r>
    <r>
      <rPr>
        <sz val="11"/>
        <color theme="1"/>
        <rFont val="宋体"/>
        <charset val="134"/>
        <scheme val="minor"/>
      </rPr>
      <t xml:space="preserve">
解放现有多种企微群在服务过程中回复效率较低，响应效果较差，不能将群内各角色的问题及时有效传递至问题解决人，导致企微群不够活跃，且造成最终用户服务满意度较差的服务体验</t>
    </r>
  </si>
  <si>
    <r>
      <t>产品目标：</t>
    </r>
    <r>
      <rPr>
        <sz val="11"/>
        <color theme="1"/>
        <rFont val="宋体"/>
        <charset val="134"/>
        <scheme val="minor"/>
      </rPr>
      <t xml:space="preserve">
通过大模型对群内发言内容（含语音）的智能高效的理解、分类，将群内问题快速、准确的通过智能工单调度系统分发至相应的服务人员，对用户的问题进行及时有效的响应并关闭；并通过后续升级知识库和分类字典的方式，持续对系统进行迭代升级，使得企微服务系统最终能够实现智能理解、智能分类、智能派单、智能响应、智能升级的智能化服务的目标。</t>
    </r>
  </si>
  <si>
    <t>序号</t>
  </si>
  <si>
    <t>服务对象</t>
  </si>
  <si>
    <t>群内容形式</t>
  </si>
  <si>
    <t>提问场景</t>
  </si>
  <si>
    <t>回复方式</t>
  </si>
  <si>
    <t>数据准备</t>
  </si>
  <si>
    <t>工单调度</t>
  </si>
  <si>
    <t>数据统计反馈</t>
  </si>
  <si>
    <t>一期服务类别</t>
  </si>
  <si>
    <t>二期服务能力</t>
  </si>
  <si>
    <t>二期服务类别及功能</t>
  </si>
  <si>
    <t>类别</t>
  </si>
  <si>
    <t>群成员</t>
  </si>
  <si>
    <t>文字</t>
  </si>
  <si>
    <t>语音</t>
  </si>
  <si>
    <t>图片</t>
  </si>
  <si>
    <t>群内</t>
  </si>
  <si>
    <t>群外</t>
  </si>
  <si>
    <t>解放</t>
  </si>
  <si>
    <t>鱼快</t>
  </si>
  <si>
    <t>企微服务商</t>
  </si>
  <si>
    <t>服务项
(咨询、维保、投诉)</t>
  </si>
  <si>
    <t>回复人角色</t>
  </si>
  <si>
    <t>省级大群
(30*3)
3.5万人</t>
  </si>
  <si>
    <t>解放调度人员
解放服务人员
用户
鱼快/解放托儿
鱼快客服人员
鱼快机器人</t>
  </si>
  <si>
    <t>单/多条文字</t>
  </si>
  <si>
    <t>单条语音</t>
  </si>
  <si>
    <t>单条图片</t>
  </si>
  <si>
    <t>同类别单人提问
(文字，语音，图片)</t>
  </si>
  <si>
    <t>机器人及时自动回复</t>
  </si>
  <si>
    <t>400客服回复</t>
  </si>
  <si>
    <t>关键字管理
（类别字典）</t>
  </si>
  <si>
    <t>鱼快服务群被动问题分类分析</t>
  </si>
  <si>
    <t>敏感词/图片/表情/广告</t>
  </si>
  <si>
    <t>创建（WEB/企微）</t>
  </si>
  <si>
    <t>埋点数据/分析数据</t>
  </si>
  <si>
    <r>
      <rPr>
        <sz val="11"/>
        <color theme="1"/>
        <rFont val="宋体"/>
        <charset val="134"/>
        <scheme val="minor"/>
      </rPr>
      <t xml:space="preserve">权益咨询
</t>
    </r>
    <r>
      <rPr>
        <sz val="11"/>
        <color rgb="FFFF0000"/>
        <rFont val="宋体"/>
        <charset val="134"/>
        <scheme val="minor"/>
      </rPr>
      <t>1.</t>
    </r>
    <r>
      <rPr>
        <sz val="11"/>
        <color rgb="FFFF0000"/>
        <rFont val="微软雅黑"/>
        <charset val="134"/>
      </rPr>
      <t>解放行</t>
    </r>
    <r>
      <rPr>
        <sz val="11"/>
        <color theme="1"/>
        <rFont val="宋体"/>
        <charset val="134"/>
        <scheme val="minor"/>
      </rPr>
      <t xml:space="preserve">
2.梦想合伙人
3.企微活动
</t>
    </r>
  </si>
  <si>
    <t xml:space="preserve">机器人
群内客服
</t>
  </si>
  <si>
    <t>1.故障灯图片识别
2.故障码图片识别</t>
  </si>
  <si>
    <r>
      <rPr>
        <sz val="11"/>
        <color theme="1"/>
        <rFont val="宋体"/>
        <charset val="134"/>
        <scheme val="minor"/>
      </rPr>
      <t xml:space="preserve">服务站信息咨询
</t>
    </r>
    <r>
      <rPr>
        <sz val="11"/>
        <color theme="1"/>
        <rFont val="微软雅黑"/>
        <charset val="134"/>
      </rPr>
      <t>•</t>
    </r>
    <r>
      <rPr>
        <sz val="11"/>
        <color theme="1"/>
        <rFont val="宋体"/>
        <charset val="134"/>
        <scheme val="minor"/>
      </rPr>
      <t xml:space="preserve">名称位置
</t>
    </r>
    <r>
      <rPr>
        <sz val="11"/>
        <color theme="1"/>
        <rFont val="微软雅黑"/>
        <charset val="134"/>
      </rPr>
      <t>•</t>
    </r>
    <r>
      <rPr>
        <sz val="11"/>
        <color theme="1"/>
        <rFont val="宋体"/>
        <charset val="134"/>
        <scheme val="minor"/>
      </rPr>
      <t xml:space="preserve">营业时间
</t>
    </r>
  </si>
  <si>
    <t>群内客服</t>
  </si>
  <si>
    <t>经销商群
(300*3)
6.5万人</t>
  </si>
  <si>
    <t>经销商管理人员
经销商服务人员
用户
鱼快/解放托儿
鱼快客服人员
鱼快机器人</t>
  </si>
  <si>
    <t>文字互动</t>
  </si>
  <si>
    <t>多条连续语音</t>
  </si>
  <si>
    <t>多条图片</t>
  </si>
  <si>
    <t>同类别多人交叉提问</t>
  </si>
  <si>
    <t>群内鱼快客服回复</t>
  </si>
  <si>
    <t>专题回复</t>
  </si>
  <si>
    <t>专业同义词、近义词、谐音字、简称、别称</t>
  </si>
  <si>
    <t>分类任务与服务角色对应关系</t>
  </si>
  <si>
    <t>数据统计</t>
  </si>
  <si>
    <t>分配（群内/外）</t>
  </si>
  <si>
    <t>数据分类/关联方/建模</t>
  </si>
  <si>
    <r>
      <rPr>
        <sz val="11"/>
        <color theme="1"/>
        <rFont val="宋体"/>
        <charset val="134"/>
        <scheme val="minor"/>
      </rPr>
      <t xml:space="preserve">4.维修预约
</t>
    </r>
    <r>
      <rPr>
        <sz val="11"/>
        <color rgb="FFFF0000"/>
        <rFont val="宋体"/>
        <charset val="134"/>
        <scheme val="minor"/>
      </rPr>
      <t>5.保养预约</t>
    </r>
  </si>
  <si>
    <t>群内客服
(经销商客服)</t>
  </si>
  <si>
    <t>4.多轮文字交互回复
（半监督学习）</t>
  </si>
  <si>
    <t>保修期咨询</t>
  </si>
  <si>
    <t>1v1高价值群
2万人</t>
  </si>
  <si>
    <t>车主
司机（多个）
鱼快客服人员
鱼快机器人</t>
  </si>
  <si>
    <t>语音互动</t>
  </si>
  <si>
    <t>不同类别多人交叉提问</t>
  </si>
  <si>
    <t>经销商人员回复</t>
  </si>
  <si>
    <t>群内角色定义及有效信息（含车辆信息）</t>
  </si>
  <si>
    <t>Q&amp;A知识库</t>
  </si>
  <si>
    <t>权限/安全等</t>
  </si>
  <si>
    <t>跟踪与反馈</t>
  </si>
  <si>
    <t>发送对象/形式/方式/频次</t>
  </si>
  <si>
    <r>
      <rPr>
        <sz val="11"/>
        <color theme="1"/>
        <rFont val="宋体"/>
        <charset val="134"/>
        <scheme val="minor"/>
      </rPr>
      <t xml:space="preserve">维修能力抱怨
</t>
    </r>
    <r>
      <rPr>
        <sz val="11"/>
        <color rgb="FFFF0000"/>
        <rFont val="宋体"/>
        <charset val="134"/>
        <scheme val="minor"/>
      </rPr>
      <t>6.备品调件慢</t>
    </r>
    <r>
      <rPr>
        <sz val="11"/>
        <color theme="1"/>
        <rFont val="宋体"/>
        <charset val="134"/>
        <scheme val="minor"/>
      </rPr>
      <t xml:space="preserve">
7.备品调件缺件
8.多次未修复
</t>
    </r>
  </si>
  <si>
    <t>机器人
群内客服
400调度</t>
  </si>
  <si>
    <t>3.故障知识学习
（大模型+知识库）</t>
  </si>
  <si>
    <t>年检咨询</t>
  </si>
  <si>
    <t>群内其他角色回复</t>
  </si>
  <si>
    <t>群内角色信息分级触达方式</t>
  </si>
  <si>
    <t>同类问题同一角色/不同角色的多轮对话的大模型数据交互生成</t>
  </si>
  <si>
    <t>统计/分析</t>
  </si>
  <si>
    <t>数据评价标准</t>
  </si>
  <si>
    <r>
      <rPr>
        <sz val="11"/>
        <color rgb="FFFF0000"/>
        <rFont val="宋体"/>
        <charset val="134"/>
        <scheme val="minor"/>
      </rPr>
      <t>9.重大投诉</t>
    </r>
    <r>
      <rPr>
        <sz val="11"/>
        <color theme="1"/>
        <rFont val="宋体"/>
        <charset val="134"/>
        <scheme val="minor"/>
      </rPr>
      <t xml:space="preserve">
(敏感词-舆情)</t>
    </r>
  </si>
  <si>
    <t>鱼快部分诊修能力
5、爱车体检
6、清码
7、异常驾驶行为分析</t>
  </si>
  <si>
    <t>油耗咨询</t>
  </si>
  <si>
    <t>所有群内信息历史文本记录（语音转文本）</t>
  </si>
  <si>
    <t>服务评价体系（闭环）</t>
  </si>
  <si>
    <t>数据闭环方式</t>
  </si>
  <si>
    <t>10.问询400电话号码</t>
  </si>
  <si>
    <t>机器人</t>
  </si>
  <si>
    <t>清码</t>
  </si>
  <si>
    <t>群内历史问答
数据标签</t>
  </si>
  <si>
    <t>埋点数据统计规则、分析、分发</t>
  </si>
  <si>
    <t>11.图片类咨询</t>
  </si>
  <si>
    <t>用车咨询</t>
  </si>
  <si>
    <t>机器人
群内客服</t>
  </si>
  <si>
    <t>对同类别问题设置优先级</t>
  </si>
  <si>
    <t>新增群内容与类别拓展</t>
  </si>
  <si>
    <t>12.其他</t>
  </si>
  <si>
    <t>机器人
400调度</t>
  </si>
  <si>
    <t>类别优先级排序</t>
  </si>
  <si>
    <t>行业关键字库及解析</t>
  </si>
  <si>
    <t>不同类别服务的现有流程，及对应服务人员的职责分工，及服务闭环方式</t>
  </si>
  <si>
    <t>政策、法规数据切片解析
车辆官方文件切片解析</t>
  </si>
  <si>
    <t>诊修、保养等算法及推动规则（现有）</t>
  </si>
  <si>
    <t>保修、保养、检车数据库（车型、城市、车辆画像匹配）</t>
  </si>
  <si>
    <t>季节性服务提醒</t>
  </si>
  <si>
    <t>场景</t>
  </si>
  <si>
    <t>会话交互场景</t>
  </si>
  <si>
    <t>业务流程</t>
  </si>
  <si>
    <r>
      <rPr>
        <b/>
        <sz val="10"/>
        <color rgb="FF000000"/>
        <rFont val="宋体"/>
        <charset val="134"/>
      </rPr>
      <t>场景一、</t>
    </r>
    <r>
      <rPr>
        <b/>
        <sz val="10"/>
        <color rgb="FF000000"/>
        <rFont val="宋体"/>
        <charset val="134"/>
      </rPr>
      <t xml:space="preserve">
保修期咨询自动回复</t>
    </r>
  </si>
  <si>
    <r>
      <rPr>
        <b/>
        <sz val="10"/>
        <color rgb="FF000000"/>
        <rFont val="宋体"/>
        <charset val="134"/>
      </rPr>
      <t>1、接收群消息</t>
    </r>
    <r>
      <rPr>
        <sz val="10"/>
        <color rgb="FF000000"/>
        <rFont val="宋体"/>
        <charset val="134"/>
      </rPr>
      <t xml:space="preserve">“鹰途车EGR阀保修多长时间”
</t>
    </r>
    <r>
      <rPr>
        <b/>
        <sz val="10"/>
        <color rgb="FF000000"/>
        <rFont val="宋体"/>
        <charset val="134"/>
      </rPr>
      <t>2、语义分析</t>
    </r>
    <r>
      <rPr>
        <sz val="10"/>
        <color rgb="FF000000"/>
        <rFont val="宋体"/>
        <charset val="134"/>
      </rPr>
      <t xml:space="preserve">：鹰途、EGR、保修时间
</t>
    </r>
    <r>
      <rPr>
        <b/>
        <sz val="10"/>
        <color rgb="FF000000"/>
        <rFont val="宋体"/>
        <charset val="134"/>
      </rPr>
      <t>3、知识库检索</t>
    </r>
    <r>
      <rPr>
        <sz val="10"/>
        <color rgb="FF000000"/>
        <rFont val="宋体"/>
        <charset val="134"/>
      </rPr>
      <t xml:space="preserve">：三年
</t>
    </r>
    <r>
      <rPr>
        <b/>
        <sz val="10"/>
        <color rgb="FF000000"/>
        <rFont val="宋体"/>
        <charset val="134"/>
      </rPr>
      <t>4、自动答复内容生成</t>
    </r>
    <r>
      <rPr>
        <sz val="10"/>
        <color rgb="FF000000"/>
        <rFont val="宋体"/>
        <charset val="134"/>
      </rPr>
      <t xml:space="preserve">：您好，保修期三年（以购买发票时间为准）
</t>
    </r>
    <r>
      <rPr>
        <b/>
        <sz val="10"/>
        <color rgb="FF000000"/>
        <rFont val="宋体"/>
        <charset val="134"/>
      </rPr>
      <t>5、创建工单</t>
    </r>
    <r>
      <rPr>
        <sz val="10"/>
        <color rgb="FF000000"/>
        <rFont val="宋体"/>
        <charset val="134"/>
      </rPr>
      <t xml:space="preserve">：分类、创建时间、自动回复
</t>
    </r>
    <r>
      <rPr>
        <b/>
        <sz val="10"/>
        <color rgb="FF000000"/>
        <rFont val="宋体"/>
        <charset val="134"/>
      </rPr>
      <t>6、群内自动答复</t>
    </r>
    <r>
      <rPr>
        <sz val="10"/>
        <color rgb="FF000000"/>
        <rFont val="宋体"/>
        <charset val="134"/>
      </rPr>
      <t>：您好，保修期三年（以购买发票时间为准）</t>
    </r>
  </si>
  <si>
    <t>一期输出DEMO内容</t>
  </si>
  <si>
    <t>工单类型</t>
  </si>
  <si>
    <t>产品场景描述</t>
  </si>
  <si>
    <t>解放权益咨询</t>
  </si>
  <si>
    <t>机器人群内自动回复</t>
  </si>
  <si>
    <t>维修/保养预约服务</t>
  </si>
  <si>
    <t>服务站人员群内回复</t>
  </si>
  <si>
    <t>维修能力抱怨</t>
  </si>
  <si>
    <t>1、机器人群内自动回复（安抚）
2、解放400客服群外介入（直接上升）</t>
  </si>
  <si>
    <r>
      <rPr>
        <b/>
        <sz val="10"/>
        <color rgb="FF000000"/>
        <rFont val="宋体"/>
        <charset val="134"/>
      </rPr>
      <t>场景二、</t>
    </r>
    <r>
      <rPr>
        <b/>
        <sz val="10"/>
        <color rgb="FF000000"/>
        <rFont val="宋体"/>
        <charset val="134"/>
      </rPr>
      <t xml:space="preserve">
保养预约咨询人工调度</t>
    </r>
  </si>
  <si>
    <r>
      <rPr>
        <b/>
        <sz val="10"/>
        <color rgb="FF000000"/>
        <rFont val="宋体"/>
        <charset val="134"/>
      </rPr>
      <t>1、接收群消息</t>
    </r>
    <r>
      <rPr>
        <sz val="10"/>
        <color rgb="FF000000"/>
        <rFont val="宋体"/>
        <charset val="134"/>
      </rPr>
      <t xml:space="preserve">“车辆需要保养了，咋办？”
</t>
    </r>
    <r>
      <rPr>
        <b/>
        <sz val="10"/>
        <color rgb="FF000000"/>
        <rFont val="宋体"/>
        <charset val="134"/>
      </rPr>
      <t>2、语义分析</t>
    </r>
    <r>
      <rPr>
        <sz val="10"/>
        <color rgb="FF000000"/>
        <rFont val="宋体"/>
        <charset val="134"/>
      </rPr>
      <t xml:space="preserve">：保养服务
</t>
    </r>
    <r>
      <rPr>
        <b/>
        <sz val="10"/>
        <color rgb="FF000000"/>
        <rFont val="宋体"/>
        <charset val="134"/>
      </rPr>
      <t>3、创建工单</t>
    </r>
    <r>
      <rPr>
        <sz val="10"/>
        <color rgb="FF000000"/>
        <rFont val="宋体"/>
        <charset val="134"/>
      </rPr>
      <t xml:space="preserve">：分类、创建时间、人工答复
</t>
    </r>
    <r>
      <rPr>
        <b/>
        <sz val="10"/>
        <color rgb="FF000000"/>
        <rFont val="宋体"/>
        <charset val="134"/>
      </rPr>
      <t>4、工单推送给员工</t>
    </r>
  </si>
  <si>
    <r>
      <rPr>
        <b/>
        <sz val="10"/>
        <color rgb="FF000000"/>
        <rFont val="宋体"/>
        <charset val="134"/>
      </rPr>
      <t>场景三、</t>
    </r>
    <r>
      <rPr>
        <b/>
        <sz val="10"/>
        <color rgb="FF000000"/>
        <rFont val="宋体"/>
        <charset val="134"/>
      </rPr>
      <t xml:space="preserve">
低满反馈投诉上升后台回复</t>
    </r>
  </si>
  <si>
    <r>
      <rPr>
        <b/>
        <sz val="10"/>
        <color rgb="FF000000"/>
        <rFont val="宋体"/>
        <charset val="134"/>
      </rPr>
      <t>1、接收群消息</t>
    </r>
    <r>
      <rPr>
        <sz val="10"/>
        <color rgb="FF000000"/>
        <rFont val="宋体"/>
        <charset val="134"/>
      </rPr>
      <t xml:space="preserve">“维修站服务态度太差了”
</t>
    </r>
    <r>
      <rPr>
        <b/>
        <sz val="10"/>
        <color rgb="FF000000"/>
        <rFont val="宋体"/>
        <charset val="134"/>
      </rPr>
      <t>2、语义分析</t>
    </r>
    <r>
      <rPr>
        <sz val="10"/>
        <color rgb="FF000000"/>
        <rFont val="宋体"/>
        <charset val="134"/>
      </rPr>
      <t xml:space="preserve">：服务态度、差
</t>
    </r>
    <r>
      <rPr>
        <b/>
        <sz val="10"/>
        <color rgb="FF000000"/>
        <rFont val="宋体"/>
        <charset val="134"/>
      </rPr>
      <t>3、创建工单：</t>
    </r>
    <r>
      <rPr>
        <sz val="10"/>
        <color rgb="FF000000"/>
        <rFont val="宋体"/>
        <charset val="134"/>
      </rPr>
      <t xml:space="preserve">分类、创建时间、人工调度
</t>
    </r>
    <r>
      <rPr>
        <b/>
        <sz val="10"/>
        <color rgb="FF000000"/>
        <rFont val="宋体"/>
        <charset val="134"/>
      </rPr>
      <t>4、工单推送给员工</t>
    </r>
    <r>
      <rPr>
        <b/>
        <sz val="10"/>
        <color rgb="FF000000"/>
        <rFont val="宋体"/>
        <charset val="134"/>
      </rPr>
      <t xml:space="preserve">
5、群内自动安抚</t>
    </r>
    <r>
      <rPr>
        <sz val="10"/>
        <color rgb="FF000000"/>
        <rFont val="宋体"/>
        <charset val="134"/>
      </rPr>
      <t xml:space="preserve">：您好，您提到的问题，我们非常重视，会有服务专员与您沟通。 @客户 </t>
    </r>
  </si>
  <si>
    <t>产品</t>
  </si>
  <si>
    <t>功能</t>
  </si>
  <si>
    <t>功能描述</t>
  </si>
  <si>
    <t>智能机器人</t>
  </si>
  <si>
    <t>消息接收与推送</t>
  </si>
  <si>
    <t>能够实时接收客户在群里发送的消息，并推送给群内成员</t>
  </si>
  <si>
    <t>自动回复</t>
  </si>
  <si>
    <t>知识库匹配到内容后，机器人自动将信息回复到群内</t>
  </si>
  <si>
    <t>消息监控</t>
  </si>
  <si>
    <t>实时监测企微群内客户发送的每一条消息，确保不会遗漏任何信息。</t>
  </si>
  <si>
    <t>消息识别（文字、语音）</t>
  </si>
  <si>
    <t>将用户发送的语音消息，识别转译为文字</t>
  </si>
  <si>
    <t>会话分析匹配模型</t>
  </si>
  <si>
    <t>对监控到的客户消息进行分析，提取关键信息，理解客户的意图和需求，例如识别客户是在咨询产品信息、反馈问题还是寻求技术支持等，并检索知识库提取答复信息</t>
  </si>
  <si>
    <t>智能会话系统后台</t>
  </si>
  <si>
    <t>关键词字典管理</t>
  </si>
  <si>
    <t>关键词及其相关信息，如将 “保修期限”“售后维修” 等作为独立的关键词添加到系统中，确保知识库可以对这些关键信息进行精准匹配和处理。</t>
  </si>
  <si>
    <t>分阶段可以</t>
  </si>
  <si>
    <t>推送管理</t>
  </si>
  <si>
    <t>根据消息，匹配对应的群、机器人、平台，进行推送，可查看推送结果</t>
  </si>
  <si>
    <t>企微机器人管理</t>
  </si>
  <si>
    <t>管理维护企微号，用于查看企微状态</t>
  </si>
  <si>
    <t>群里管理</t>
  </si>
  <si>
    <t>企微群服务基础功能，人工配置群、机器人关联关系</t>
  </si>
  <si>
    <t>知识库管理</t>
  </si>
  <si>
    <r>
      <rPr>
        <b/>
        <sz val="10"/>
        <color rgb="FF000000"/>
        <rFont val="宋体"/>
        <charset val="134"/>
        <scheme val="minor"/>
      </rPr>
      <t>知识存储：</t>
    </r>
    <r>
      <rPr>
        <sz val="10"/>
        <color rgb="FF000000"/>
        <rFont val="宋体"/>
        <charset val="134"/>
        <scheme val="minor"/>
      </rPr>
      <t>集中存储各种与业务相关的知识文档、常见问题解答、产品手册、操作指南等信息，为机器人自动答复提供数据支持。</t>
    </r>
    <r>
      <rPr>
        <b/>
        <sz val="10"/>
        <color rgb="FF000000"/>
        <rFont val="宋体"/>
        <charset val="134"/>
        <scheme val="minor"/>
      </rPr>
      <t xml:space="preserve">
知识分类与索引：</t>
    </r>
    <r>
      <rPr>
        <sz val="10"/>
        <color rgb="FF000000"/>
        <rFont val="宋体"/>
        <charset val="134"/>
        <scheme val="minor"/>
      </rPr>
      <t>对存储的知识进行合理分类和建立索引，方便机器人能够快速准确地检索到与客户问题相匹配的答案，提高查询效率。</t>
    </r>
    <r>
      <rPr>
        <b/>
        <sz val="10"/>
        <color rgb="FF000000"/>
        <rFont val="宋体"/>
        <charset val="134"/>
        <scheme val="minor"/>
      </rPr>
      <t xml:space="preserve">
知识更新与维护：</t>
    </r>
    <r>
      <rPr>
        <sz val="10"/>
        <color rgb="FF000000"/>
        <rFont val="宋体"/>
        <charset val="134"/>
        <scheme val="minor"/>
      </rPr>
      <t>支持管理员对知识库中的内容进行定期更新和维护，确保知识的准确性和时效性，及时反映业务的变化和最新信息。</t>
    </r>
  </si>
  <si>
    <t>工单管理系统</t>
  </si>
  <si>
    <t>工单创建</t>
  </si>
  <si>
    <t>自动生成工单，将客户消息及相关信息完整地记录在工单中，包括客户身份、消息内容、发送时间等。</t>
  </si>
  <si>
    <t>工单分配</t>
  </si>
  <si>
    <t>根据工单的类型、紧急程度等因素，自动或手动将工单分配给合适的人工客服或相关部门进行跟进处理，确保工单能够得到及时有效的解决。</t>
  </si>
  <si>
    <t>工单跟踪与反馈</t>
  </si>
  <si>
    <t>人工客服在处理工单过程中，可以实时更新工单状态，记录处理进度和结果，方便客户和相关人员随时了解工单的处理情况。</t>
  </si>
  <si>
    <t>工单统计与分析</t>
  </si>
  <si>
    <t>对工单数据进行统计和分析，如工单数量、处理时长、客户满意度等，为企业优化业务流程、提升服务质量提供数据依据。</t>
  </si>
  <si>
    <t>不同类型工单分阶段上线</t>
  </si>
  <si>
    <t>知识库训练</t>
  </si>
  <si>
    <t>小于10类工单；10类工单自动回复不大于5个，三类场景——机器人+工单后台</t>
  </si>
  <si>
    <t>4月中 小批量验证两周5月批量上线</t>
  </si>
  <si>
    <t>上什么功能解决哪些通用问题</t>
  </si>
  <si>
    <t>语音文字自动工单调度（自动+人工）</t>
  </si>
  <si>
    <t>机器人自动回复</t>
  </si>
  <si>
    <t>工单跟踪与统计</t>
  </si>
  <si>
    <t>分类、回复知识库、调度与跟踪业务流后台配置-配置上自服务</t>
  </si>
  <si>
    <t>上哪些业务工单流（分阶段）</t>
  </si>
  <si>
    <t>待沟通问题</t>
  </si>
  <si>
    <t>工单系统用哪个系统？解放是否有具体的要求，需要提供工单接口</t>
  </si>
  <si>
    <t>产品设计、业务流程、资源（解放）、服务器资源 成本——2月底全部确定</t>
  </si>
  <si>
    <t>技术确认点-杨诺（需要解放提供的服务器与大模型资源）</t>
  </si>
  <si>
    <t>产品功能</t>
  </si>
  <si>
    <t>工单类型覆盖</t>
  </si>
  <si>
    <t>业务推广节奏</t>
  </si>
  <si>
    <t>一阶段</t>
  </si>
  <si>
    <t>机器人工单自动创建与分配
自动回复
工单监控（跟踪与统计）</t>
  </si>
  <si>
    <t>待确认</t>
  </si>
  <si>
    <t>4月份小批量验证</t>
  </si>
  <si>
    <t>二阶段</t>
  </si>
  <si>
    <t>智能交互？</t>
  </si>
  <si>
    <t>6月份全面推广</t>
  </si>
  <si>
    <t>周期</t>
  </si>
  <si>
    <t>时间</t>
  </si>
  <si>
    <t>工作项</t>
  </si>
  <si>
    <t>责任人</t>
  </si>
  <si>
    <t>产品定义 、场景看板、工单类型分类与优先级 与解放完成讨论定版</t>
  </si>
  <si>
    <t>鱼快&amp;解放</t>
  </si>
  <si>
    <r>
      <rPr>
        <sz val="11"/>
        <color theme="1"/>
        <rFont val="宋体"/>
        <charset val="134"/>
        <scheme val="minor"/>
      </rPr>
      <t>初步技术可行性与合作方确认</t>
    </r>
    <r>
      <rPr>
        <sz val="11"/>
        <color rgb="FF00B050"/>
        <rFont val="宋体"/>
        <charset val="134"/>
        <scheme val="minor"/>
      </rPr>
      <t>（初步确认：OK，企微包三方接口输入信息，能力模块鱼快自研）</t>
    </r>
  </si>
  <si>
    <t>产品初步上线计划（确定不同阶段上线的功能与工单类型）</t>
  </si>
  <si>
    <t>业务问题、资源需求输出，初步排期</t>
  </si>
  <si>
    <t>一阶段工单业务流设计与评审</t>
  </si>
  <si>
    <t>解放&amp;鱼快</t>
  </si>
  <si>
    <t>讨论定版分阶段业务推进计划</t>
  </si>
  <si>
    <t>一阶段产品原型初版</t>
  </si>
  <si>
    <t>确定解放支撑项落地计划（需求表）</t>
  </si>
  <si>
    <t>确认技术方案（分类大模型/知识库应用方式），解放数字化部支撑</t>
  </si>
  <si>
    <t>细化一期产品功能、产品原型定版</t>
  </si>
  <si>
    <t>开发排期与一阶段计划确定</t>
  </si>
  <si>
    <t>数据逐步导入（解放/鱼快）</t>
  </si>
  <si>
    <t>产品开发实施</t>
  </si>
  <si>
    <t>产品上线（10个工单类型）</t>
  </si>
  <si>
    <t>小批量验证迭代（10个群）</t>
  </si>
  <si>
    <t>产品迭代_-200个</t>
  </si>
  <si>
    <t>梦想合伙人上线-1000个</t>
  </si>
  <si>
    <t>产品迭代-推广1000+100</t>
  </si>
  <si>
    <t>内容</t>
  </si>
  <si>
    <t>微伴</t>
  </si>
  <si>
    <t>微盛</t>
  </si>
  <si>
    <t>推宝</t>
  </si>
  <si>
    <t>注解</t>
  </si>
  <si>
    <t>群内消息接收</t>
  </si>
  <si>
    <t>√</t>
  </si>
  <si>
    <t>开通腾讯会话存档功能</t>
  </si>
  <si>
    <t>语音转文字</t>
  </si>
  <si>
    <t>X</t>
  </si>
  <si>
    <t>1、鱼快开发需单独采购识别模型/API,
2、需考虑方言发音（科大讯飞）</t>
  </si>
  <si>
    <t>获取群消息需要群内成员同意</t>
  </si>
  <si>
    <t>需解放群主配合实施</t>
  </si>
  <si>
    <t>关键词管理</t>
  </si>
  <si>
    <t xml:space="preserve">1、微伴没有第三方接口，只能录入
2、微盛可以定制化开发接口
3、推宝没有此功能
</t>
  </si>
  <si>
    <t>派单工具</t>
  </si>
  <si>
    <t>1、微伴提醒/微盛提醒，单独收费，均可定制二次开发
2、推宝可借助梦想合伙人中台深度开发</t>
  </si>
  <si>
    <t>是否有大模型</t>
  </si>
  <si>
    <t>微盛的DS模型可直接用，但鱼快也可自行部署</t>
  </si>
  <si>
    <t>是否可以自动回复</t>
  </si>
  <si>
    <t>微伴/微盛不具备且不建议自动回复
推宝的自动回复已在1V1群内使用</t>
  </si>
  <si>
    <t>是否有封号风险</t>
  </si>
  <si>
    <t>腾讯的封号规则没有公开介绍
推宝反馈封号风险可控，且影响不大</t>
  </si>
  <si>
    <t xml:space="preserve">
三家对比重点结论：
微伴：
1、不能主动回复，没有大模型，派单工具仍需要其进行部分开发，存在时间风险。
2、自动回复需鱼快自行找第三方实施并承担所有风险
微盛：
1、不能主动回复，自带大模型，派单工具成熟，轻量二次开发以适应派单需求。
2、自动回复需鱼快自行找第三方实施并承担所有风险
推宝：
1、只具备企微收发信息的框架，但具备自动回复功能，已在鱼快1V1项目应用。</t>
  </si>
  <si>
    <t>措施：</t>
  </si>
  <si>
    <t>先决条件：长期大模型鱼快自研，需自动回复</t>
  </si>
  <si>
    <t>供应商成本</t>
  </si>
  <si>
    <t>鱼快开发成本</t>
  </si>
  <si>
    <t>可控</t>
  </si>
  <si>
    <t>可靠</t>
  </si>
  <si>
    <t>拓展性</t>
  </si>
  <si>
    <t>总论</t>
  </si>
  <si>
    <t>方案1</t>
  </si>
  <si>
    <t>微伴+(鱼快+推宝)</t>
  </si>
  <si>
    <t>1、微伴需二次开发派单模块（如一键跳转），会产生开发周期与费用
2、鱼快需开发大模型，配合微伴开发派单模块、系统部署
3、鱼快需找其他第三方配置自动回复机器人（推宝）</t>
  </si>
  <si>
    <t>方案2</t>
  </si>
  <si>
    <t>微盛+(鱼快+推宝)</t>
  </si>
  <si>
    <t>1、微盛需对派单模块按鱼快需求进行轻量修改
2、鱼快无需开发大模型，配合微盛完善派单模块，系统部署
3、鱼快需找其他第三方配置自动回复机器人（推宝）
4、长期运营后，鱼快可选择是否切换供应商</t>
  </si>
  <si>
    <t>方案3</t>
  </si>
  <si>
    <t>微伴+微盛+
(鱼快+推宝)</t>
  </si>
  <si>
    <t>1、微伴服务青岛车，微盛服务长春车
2、长期运营后，可逐步切换成微盛（微盛优势大概率会在使用过程中显现出来）
3.1、初步估算鱼快所需开发周期、成本为单一供应商1.5-2倍
3.2、鱼快开发内容涉及到二者公用的语义大模型，配合微伴开发派单模块，配合微盛更改派单模块、系统部署，
3.3、微伴需二次开发派单模块
3.4、微盛需更改派单模块
4、鱼快需找其他第三方配置自动回复机器人(推宝）</t>
  </si>
  <si>
    <t>方案4</t>
  </si>
  <si>
    <t>推宝+鱼快</t>
  </si>
  <si>
    <t>1、只借助推宝的企微框架，大模型与派单模块均由鱼快开发
2、鱼快开发量较大，但可以保证数据安全，后续自主可控
3、鱼快无需开发配置自动回复机器人</t>
  </si>
  <si>
    <t>鱼快开发</t>
  </si>
  <si>
    <t>语义大模型开发</t>
  </si>
  <si>
    <t>关键字识别开发</t>
  </si>
  <si>
    <t>派单模块开发</t>
  </si>
  <si>
    <t>派单模块对接</t>
  </si>
  <si>
    <t>企微消息
数据对接</t>
  </si>
  <si>
    <t>自动回复
企微群关系模块开发</t>
  </si>
  <si>
    <t>自动回复功能
第三方采购</t>
  </si>
  <si>
    <t>部署+测试联调</t>
  </si>
  <si>
    <t>合计</t>
  </si>
  <si>
    <t>人月</t>
  </si>
  <si>
    <t>关联方</t>
  </si>
  <si>
    <t>派单模块
二次开发费</t>
  </si>
  <si>
    <t>派单模块
使用费</t>
  </si>
  <si>
    <t>基础使用费</t>
  </si>
  <si>
    <t>席位费</t>
  </si>
  <si>
    <t>增值服务费1</t>
  </si>
  <si>
    <t>增值服务费2</t>
  </si>
  <si>
    <t>语义大模型
开发</t>
  </si>
  <si>
    <t>关键字识别
开发</t>
  </si>
  <si>
    <t>派单模块
开发</t>
  </si>
  <si>
    <t>派单模块
对接</t>
  </si>
  <si>
    <t>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</si>
</sst>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Inter"/>
      <charset val="134"/>
    </font>
    <font>
      <sz val="10"/>
      <color rgb="FF262626"/>
      <name val="Inter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4"/>
      <color theme="1"/>
      <name val="宋体"/>
      <charset val="134"/>
    </font>
    <font>
      <sz val="11"/>
      <color rgb="FFFFC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00B05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17" applyNumberFormat="0" applyAlignment="0" applyProtection="0">
      <alignment vertical="center"/>
    </xf>
    <xf numFmtId="0" fontId="27" fillId="12" borderId="18" applyNumberFormat="0" applyAlignment="0" applyProtection="0">
      <alignment vertical="center"/>
    </xf>
    <xf numFmtId="0" fontId="28" fillId="12" borderId="17" applyNumberFormat="0" applyAlignment="0" applyProtection="0">
      <alignment vertical="center"/>
    </xf>
    <xf numFmtId="0" fontId="29" fillId="13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101"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>
      <alignment vertical="center"/>
    </xf>
    <xf numFmtId="0" fontId="3" fillId="0" borderId="2" xfId="0" applyFont="1" applyFill="1" applyBorder="1" applyAlignment="1">
      <alignment horizontal="left" vertical="center"/>
    </xf>
    <xf numFmtId="0" fontId="0" fillId="0" borderId="2" xfId="0" applyFont="1" applyBorder="1">
      <alignment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9" xfId="0" applyFont="1" applyFill="1" applyBorder="1">
      <alignment vertical="center"/>
    </xf>
    <xf numFmtId="0" fontId="0" fillId="2" borderId="9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3" borderId="2" xfId="0" applyFont="1" applyFill="1" applyBorder="1">
      <alignment vertical="center"/>
    </xf>
    <xf numFmtId="0" fontId="0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>
      <alignment vertical="center"/>
    </xf>
    <xf numFmtId="0" fontId="0" fillId="3" borderId="2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0" xfId="0" applyFont="1" applyFill="1" applyBorder="1">
      <alignment vertical="center"/>
    </xf>
    <xf numFmtId="0" fontId="4" fillId="2" borderId="9" xfId="0" applyFont="1" applyFill="1" applyBorder="1" applyAlignment="1">
      <alignment horizontal="right" vertical="center"/>
    </xf>
    <xf numFmtId="0" fontId="0" fillId="2" borderId="1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0" fillId="5" borderId="2" xfId="0" applyFont="1" applyFill="1" applyBorder="1" applyAlignment="1">
      <alignment wrapText="1"/>
    </xf>
    <xf numFmtId="0" fontId="0" fillId="5" borderId="2" xfId="0" applyFont="1" applyFill="1" applyBorder="1" applyAlignment="1">
      <alignment vertical="center" wrapText="1"/>
    </xf>
    <xf numFmtId="0" fontId="0" fillId="4" borderId="2" xfId="0" applyFont="1" applyFill="1" applyBorder="1" applyAlignment="1"/>
    <xf numFmtId="0" fontId="0" fillId="5" borderId="2" xfId="0" applyFont="1" applyFill="1" applyBorder="1" applyAlignment="1">
      <alignment horizontal="center" vertical="center"/>
    </xf>
    <xf numFmtId="0" fontId="0" fillId="5" borderId="2" xfId="0" applyFont="1" applyFill="1" applyBorder="1">
      <alignment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7" fillId="0" borderId="0" xfId="0" applyFont="1" applyFill="1">
      <alignment vertical="center"/>
    </xf>
    <xf numFmtId="0" fontId="8" fillId="6" borderId="12" xfId="0" applyFont="1" applyFill="1" applyBorder="1" applyAlignment="1">
      <alignment horizontal="left" vertical="center"/>
    </xf>
    <xf numFmtId="0" fontId="9" fillId="0" borderId="0" xfId="0" applyFont="1" applyFill="1">
      <alignment vertical="center"/>
    </xf>
    <xf numFmtId="0" fontId="10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>
      <alignment vertical="center"/>
    </xf>
    <xf numFmtId="0" fontId="9" fillId="0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right" vertical="center"/>
    </xf>
    <xf numFmtId="0" fontId="13" fillId="8" borderId="2" xfId="0" applyFont="1" applyFill="1" applyBorder="1">
      <alignment vertical="center"/>
    </xf>
    <xf numFmtId="0" fontId="14" fillId="0" borderId="0" xfId="0" applyFont="1">
      <alignment vertical="center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>
      <alignment vertical="center"/>
    </xf>
    <xf numFmtId="0" fontId="14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/>
    </xf>
    <xf numFmtId="0" fontId="0" fillId="9" borderId="8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>
      <alignment vertical="center"/>
    </xf>
    <xf numFmtId="0" fontId="0" fillId="9" borderId="13" xfId="0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34</xdr:row>
      <xdr:rowOff>19050</xdr:rowOff>
    </xdr:from>
    <xdr:ext cx="2314575" cy="379095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1319530" y="9223375"/>
          <a:ext cx="2314575" cy="3790950"/>
        </a:xfrm>
        <a:prstGeom prst="rect">
          <a:avLst/>
        </a:prstGeom>
      </xdr:spPr>
    </xdr:pic>
    <xdr:clientData/>
  </xdr:oneCellAnchor>
  <xdr:oneCellAnchor>
    <xdr:from>
      <xdr:col>1</xdr:col>
      <xdr:colOff>2124075</xdr:colOff>
      <xdr:row>14</xdr:row>
      <xdr:rowOff>47625</xdr:rowOff>
    </xdr:from>
    <xdr:ext cx="2409825" cy="3714750"/>
    <xdr:pic>
      <xdr:nvPicPr>
        <xdr:cNvPr id="3" name="图片 2"/>
        <xdr:cNvPicPr/>
      </xdr:nvPicPr>
      <xdr:blipFill>
        <a:blip r:embed="rId3" r:link="rId2"/>
        <a:stretch>
          <a:fillRect/>
        </a:stretch>
      </xdr:blipFill>
      <xdr:spPr>
        <a:xfrm>
          <a:off x="3443605" y="5695950"/>
          <a:ext cx="2409825" cy="371475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</xdr:row>
      <xdr:rowOff>9525</xdr:rowOff>
    </xdr:from>
    <xdr:ext cx="2619375" cy="5264150"/>
    <xdr:pic>
      <xdr:nvPicPr>
        <xdr:cNvPr id="4" name="图片 3"/>
        <xdr:cNvPicPr/>
      </xdr:nvPicPr>
      <xdr:blipFill>
        <a:blip r:embed="rId4" r:link="rId2"/>
        <a:stretch>
          <a:fillRect/>
        </a:stretch>
      </xdr:blipFill>
      <xdr:spPr>
        <a:xfrm>
          <a:off x="1329055" y="514350"/>
          <a:ext cx="2619375" cy="526415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14</xdr:row>
      <xdr:rowOff>19050</xdr:rowOff>
    </xdr:from>
    <xdr:ext cx="2143125" cy="3790950"/>
    <xdr:pic>
      <xdr:nvPicPr>
        <xdr:cNvPr id="5" name="图片 4"/>
        <xdr:cNvPicPr/>
      </xdr:nvPicPr>
      <xdr:blipFill>
        <a:blip r:embed="rId5" r:link="rId2"/>
        <a:stretch>
          <a:fillRect/>
        </a:stretch>
      </xdr:blipFill>
      <xdr:spPr>
        <a:xfrm>
          <a:off x="1329055" y="5667375"/>
          <a:ext cx="2143125" cy="3790950"/>
        </a:xfrm>
        <a:prstGeom prst="rect">
          <a:avLst/>
        </a:prstGeom>
      </xdr:spPr>
    </xdr:pic>
    <xdr:clientData/>
  </xdr:oneCellAnchor>
  <xdr:oneCellAnchor>
    <xdr:from>
      <xdr:col>1</xdr:col>
      <xdr:colOff>2305050</xdr:colOff>
      <xdr:row>34</xdr:row>
      <xdr:rowOff>19050</xdr:rowOff>
    </xdr:from>
    <xdr:ext cx="2305050" cy="3752850"/>
    <xdr:pic>
      <xdr:nvPicPr>
        <xdr:cNvPr id="6" name="图片 5"/>
        <xdr:cNvPicPr/>
      </xdr:nvPicPr>
      <xdr:blipFill>
        <a:blip r:embed="rId6" r:link="rId2"/>
        <a:stretch>
          <a:fillRect/>
        </a:stretch>
      </xdr:blipFill>
      <xdr:spPr>
        <a:xfrm>
          <a:off x="3624580" y="9223375"/>
          <a:ext cx="2305050" cy="3752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247650</xdr:colOff>
      <xdr:row>0</xdr:row>
      <xdr:rowOff>123825</xdr:rowOff>
    </xdr:from>
    <xdr:to>
      <xdr:col>4</xdr:col>
      <xdr:colOff>0</xdr:colOff>
      <xdr:row>14</xdr:row>
      <xdr:rowOff>181610</xdr:rowOff>
    </xdr:to>
    <xdr:pic>
      <xdr:nvPicPr>
        <xdr:cNvPr id="6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6675" y="123825"/>
          <a:ext cx="4641850" cy="41217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S17"/>
  <sheetViews>
    <sheetView tabSelected="1" view="pageBreakPreview" zoomScale="55" zoomScaleNormal="40" workbookViewId="0">
      <selection activeCell="A3" sqref="A3:N3"/>
    </sheetView>
  </sheetViews>
  <sheetFormatPr defaultColWidth="8.72727272727273" defaultRowHeight="14"/>
  <cols>
    <col min="1" max="1" width="6.36363636363636" customWidth="1"/>
    <col min="2" max="2" width="16.2363636363636" customWidth="1"/>
    <col min="3" max="3" width="17.1818181818182" customWidth="1"/>
    <col min="4" max="4" width="11.9" customWidth="1"/>
    <col min="5" max="6" width="10.9" customWidth="1"/>
    <col min="7" max="7" width="22.1454545454545" customWidth="1"/>
    <col min="8" max="9" width="18.6727272727273" customWidth="1"/>
    <col min="10" max="12" width="28.2636363636364" customWidth="1"/>
    <col min="13" max="13" width="15.7" customWidth="1"/>
    <col min="14" max="14" width="19.3181818181818" customWidth="1"/>
    <col min="15" max="19" width="12.0636363636364" customWidth="1"/>
  </cols>
  <sheetData>
    <row r="1" ht="34" customHeight="1" spans="1:14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ht="49" customHeight="1" spans="1:14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ht="51" customHeight="1" spans="1:14">
      <c r="A3" s="85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ht="29" customHeight="1" spans="1:19">
      <c r="A4" s="3" t="s">
        <v>3</v>
      </c>
      <c r="B4" s="86" t="s">
        <v>4</v>
      </c>
      <c r="C4" s="86"/>
      <c r="D4" s="87" t="s">
        <v>5</v>
      </c>
      <c r="E4" s="87"/>
      <c r="F4" s="88"/>
      <c r="G4" s="86" t="s">
        <v>6</v>
      </c>
      <c r="H4" s="86" t="s">
        <v>7</v>
      </c>
      <c r="I4" s="86"/>
      <c r="J4" s="35" t="s">
        <v>8</v>
      </c>
      <c r="K4" s="35"/>
      <c r="L4" s="35"/>
      <c r="M4" s="86" t="s">
        <v>9</v>
      </c>
      <c r="N4" s="86" t="s">
        <v>10</v>
      </c>
      <c r="O4" s="92" t="s">
        <v>11</v>
      </c>
      <c r="P4" s="93"/>
      <c r="Q4" s="98" t="s">
        <v>12</v>
      </c>
      <c r="R4" s="92" t="s">
        <v>13</v>
      </c>
      <c r="S4" s="93"/>
    </row>
    <row r="5" ht="45" customHeight="1" spans="1:19">
      <c r="A5" s="3"/>
      <c r="B5" s="89" t="s">
        <v>14</v>
      </c>
      <c r="C5" s="89" t="s">
        <v>15</v>
      </c>
      <c r="D5" s="90" t="s">
        <v>16</v>
      </c>
      <c r="E5" s="91" t="s">
        <v>17</v>
      </c>
      <c r="F5" s="91" t="s">
        <v>18</v>
      </c>
      <c r="G5" s="86"/>
      <c r="H5" s="90" t="s">
        <v>19</v>
      </c>
      <c r="I5" s="90" t="s">
        <v>20</v>
      </c>
      <c r="J5" s="94" t="s">
        <v>21</v>
      </c>
      <c r="K5" s="94" t="s">
        <v>22</v>
      </c>
      <c r="L5" s="94" t="s">
        <v>23</v>
      </c>
      <c r="M5" s="86"/>
      <c r="N5" s="86"/>
      <c r="O5" s="91" t="s">
        <v>24</v>
      </c>
      <c r="P5" s="89" t="s">
        <v>25</v>
      </c>
      <c r="Q5" s="99"/>
      <c r="R5" s="89"/>
      <c r="S5" s="89"/>
    </row>
    <row r="6" ht="109" customHeight="1" spans="1:19">
      <c r="A6" s="2">
        <v>1</v>
      </c>
      <c r="B6" s="17" t="s">
        <v>26</v>
      </c>
      <c r="C6" s="17" t="s">
        <v>27</v>
      </c>
      <c r="D6" s="8" t="s">
        <v>28</v>
      </c>
      <c r="E6" s="17" t="s">
        <v>29</v>
      </c>
      <c r="F6" s="8" t="s">
        <v>30</v>
      </c>
      <c r="G6" s="17" t="s">
        <v>31</v>
      </c>
      <c r="H6" s="17" t="s">
        <v>32</v>
      </c>
      <c r="I6" s="17" t="s">
        <v>33</v>
      </c>
      <c r="J6" s="17" t="s">
        <v>34</v>
      </c>
      <c r="K6" s="17" t="s">
        <v>35</v>
      </c>
      <c r="L6" s="17" t="s">
        <v>36</v>
      </c>
      <c r="M6" s="17" t="s">
        <v>37</v>
      </c>
      <c r="N6" s="17" t="s">
        <v>38</v>
      </c>
      <c r="O6" s="17" t="s">
        <v>39</v>
      </c>
      <c r="P6" s="17" t="s">
        <v>40</v>
      </c>
      <c r="Q6" s="17" t="s">
        <v>41</v>
      </c>
      <c r="R6" s="17" t="s">
        <v>42</v>
      </c>
      <c r="S6" s="8" t="s">
        <v>43</v>
      </c>
    </row>
    <row r="7" ht="109" customHeight="1" spans="1:19">
      <c r="A7" s="2">
        <v>2</v>
      </c>
      <c r="B7" s="17" t="s">
        <v>44</v>
      </c>
      <c r="C7" s="17" t="s">
        <v>45</v>
      </c>
      <c r="D7" s="17" t="s">
        <v>46</v>
      </c>
      <c r="E7" s="17" t="s">
        <v>47</v>
      </c>
      <c r="F7" s="8" t="s">
        <v>48</v>
      </c>
      <c r="G7" s="8" t="s">
        <v>49</v>
      </c>
      <c r="H7" t="s">
        <v>50</v>
      </c>
      <c r="I7" s="8" t="s">
        <v>51</v>
      </c>
      <c r="J7" s="17" t="s">
        <v>52</v>
      </c>
      <c r="K7" s="17" t="s">
        <v>53</v>
      </c>
      <c r="L7" s="17" t="s">
        <v>54</v>
      </c>
      <c r="M7" s="8" t="s">
        <v>55</v>
      </c>
      <c r="N7" s="17" t="s">
        <v>56</v>
      </c>
      <c r="O7" s="17" t="s">
        <v>57</v>
      </c>
      <c r="P7" s="17" t="s">
        <v>58</v>
      </c>
      <c r="Q7" s="17" t="s">
        <v>59</v>
      </c>
      <c r="R7" s="8" t="s">
        <v>60</v>
      </c>
      <c r="S7" s="8" t="s">
        <v>43</v>
      </c>
    </row>
    <row r="8" ht="71" customHeight="1" spans="1:19">
      <c r="A8" s="2">
        <v>3</v>
      </c>
      <c r="B8" s="17" t="s">
        <v>61</v>
      </c>
      <c r="C8" s="17" t="s">
        <v>62</v>
      </c>
      <c r="D8" s="17"/>
      <c r="E8" s="17" t="s">
        <v>63</v>
      </c>
      <c r="F8" s="8"/>
      <c r="G8" s="8" t="s">
        <v>64</v>
      </c>
      <c r="H8" s="8" t="s">
        <v>65</v>
      </c>
      <c r="I8" s="8"/>
      <c r="J8" s="17" t="s">
        <v>66</v>
      </c>
      <c r="K8" s="17" t="s">
        <v>67</v>
      </c>
      <c r="L8" s="17" t="s">
        <v>68</v>
      </c>
      <c r="M8" s="8" t="s">
        <v>69</v>
      </c>
      <c r="N8" s="17" t="s">
        <v>70</v>
      </c>
      <c r="O8" s="17" t="s">
        <v>71</v>
      </c>
      <c r="P8" s="17" t="s">
        <v>72</v>
      </c>
      <c r="Q8" s="24" t="s">
        <v>73</v>
      </c>
      <c r="R8" s="8" t="s">
        <v>74</v>
      </c>
      <c r="S8" s="8" t="s">
        <v>43</v>
      </c>
    </row>
    <row r="9" ht="61" customHeight="1" spans="1:19">
      <c r="A9" s="2">
        <v>4</v>
      </c>
      <c r="B9" s="8"/>
      <c r="C9" s="8"/>
      <c r="D9" s="17"/>
      <c r="E9" s="17"/>
      <c r="F9" s="17"/>
      <c r="G9" s="8"/>
      <c r="H9" s="8" t="s">
        <v>75</v>
      </c>
      <c r="I9" s="8"/>
      <c r="J9" s="17" t="s">
        <v>76</v>
      </c>
      <c r="K9" s="95" t="s">
        <v>77</v>
      </c>
      <c r="L9" s="17"/>
      <c r="M9" s="8" t="s">
        <v>78</v>
      </c>
      <c r="N9" s="17" t="s">
        <v>79</v>
      </c>
      <c r="O9" s="96" t="s">
        <v>80</v>
      </c>
      <c r="P9" s="17" t="s">
        <v>72</v>
      </c>
      <c r="Q9" s="17" t="s">
        <v>81</v>
      </c>
      <c r="R9" s="8" t="s">
        <v>82</v>
      </c>
      <c r="S9" s="8" t="s">
        <v>43</v>
      </c>
    </row>
    <row r="10" ht="47" customHeight="1" spans="1:19">
      <c r="A10" s="2">
        <v>5</v>
      </c>
      <c r="B10" s="8"/>
      <c r="C10" s="8"/>
      <c r="D10" s="17"/>
      <c r="E10" s="17"/>
      <c r="F10" s="17"/>
      <c r="G10" s="8"/>
      <c r="H10" s="8"/>
      <c r="I10" s="8"/>
      <c r="J10" s="49" t="s">
        <v>83</v>
      </c>
      <c r="K10" s="17" t="s">
        <v>84</v>
      </c>
      <c r="L10" s="17"/>
      <c r="M10" s="8"/>
      <c r="N10" s="17" t="s">
        <v>85</v>
      </c>
      <c r="O10" s="97" t="s">
        <v>86</v>
      </c>
      <c r="P10" s="8" t="s">
        <v>87</v>
      </c>
      <c r="Q10" s="8"/>
      <c r="R10" s="8" t="s">
        <v>88</v>
      </c>
      <c r="S10" s="8" t="s">
        <v>43</v>
      </c>
    </row>
    <row r="11" ht="47" customHeight="1" spans="1:19">
      <c r="A11" s="2">
        <v>6</v>
      </c>
      <c r="B11" s="2"/>
      <c r="C11" s="8"/>
      <c r="D11" s="17"/>
      <c r="E11" s="17"/>
      <c r="F11" s="17"/>
      <c r="G11" s="8"/>
      <c r="H11" s="8"/>
      <c r="I11" s="8"/>
      <c r="J11" s="17" t="s">
        <v>89</v>
      </c>
      <c r="K11" s="17" t="s">
        <v>90</v>
      </c>
      <c r="L11" s="17"/>
      <c r="M11" s="8"/>
      <c r="N11" s="17"/>
      <c r="O11" s="97" t="s">
        <v>91</v>
      </c>
      <c r="P11" s="8" t="s">
        <v>43</v>
      </c>
      <c r="Q11" s="8"/>
      <c r="R11" s="8" t="s">
        <v>92</v>
      </c>
      <c r="S11" s="17" t="s">
        <v>93</v>
      </c>
    </row>
    <row r="12" ht="47" customHeight="1" spans="1:17">
      <c r="A12" s="2">
        <v>7</v>
      </c>
      <c r="B12" s="8"/>
      <c r="D12" s="8"/>
      <c r="E12" s="8"/>
      <c r="F12" s="8"/>
      <c r="G12" s="8"/>
      <c r="H12" s="8"/>
      <c r="I12" s="8"/>
      <c r="J12" s="17" t="s">
        <v>94</v>
      </c>
      <c r="K12" s="17" t="s">
        <v>95</v>
      </c>
      <c r="L12" s="17"/>
      <c r="M12" s="8"/>
      <c r="N12" s="8"/>
      <c r="O12" s="97" t="s">
        <v>96</v>
      </c>
      <c r="P12" s="17" t="s">
        <v>97</v>
      </c>
      <c r="Q12" s="8"/>
    </row>
    <row r="13" ht="47" customHeight="1" spans="1:19">
      <c r="A13" s="2">
        <v>8</v>
      </c>
      <c r="B13" s="2"/>
      <c r="C13" s="8"/>
      <c r="D13" s="8"/>
      <c r="E13" s="8"/>
      <c r="F13" s="8"/>
      <c r="G13" s="8"/>
      <c r="H13" s="8"/>
      <c r="I13" s="8"/>
      <c r="J13" s="17" t="s">
        <v>98</v>
      </c>
      <c r="K13" s="17" t="s">
        <v>99</v>
      </c>
      <c r="L13" s="17"/>
      <c r="M13" s="8"/>
      <c r="N13" s="8"/>
      <c r="O13" s="8"/>
      <c r="P13" s="8"/>
      <c r="Q13" s="8"/>
      <c r="R13" s="100"/>
      <c r="S13" s="100"/>
    </row>
    <row r="14" ht="47" customHeight="1" spans="1:19">
      <c r="A14" s="2">
        <v>9</v>
      </c>
      <c r="B14" s="2"/>
      <c r="C14" s="8"/>
      <c r="D14" s="8"/>
      <c r="E14" s="8"/>
      <c r="F14" s="8"/>
      <c r="G14" s="8"/>
      <c r="H14" s="8"/>
      <c r="I14" s="8"/>
      <c r="J14" s="17" t="s">
        <v>100</v>
      </c>
      <c r="K14" s="17" t="s">
        <v>101</v>
      </c>
      <c r="L14" s="17"/>
      <c r="M14" s="8"/>
      <c r="N14" s="8"/>
      <c r="O14" s="8"/>
      <c r="P14" s="8"/>
      <c r="Q14" s="8"/>
      <c r="R14" s="50"/>
      <c r="S14" s="50"/>
    </row>
    <row r="15" ht="47" customHeight="1" spans="1:19">
      <c r="A15" s="2">
        <v>10</v>
      </c>
      <c r="B15" s="2"/>
      <c r="C15" s="8"/>
      <c r="D15" s="8"/>
      <c r="E15" s="8"/>
      <c r="F15" s="8"/>
      <c r="G15" s="8"/>
      <c r="H15" s="8"/>
      <c r="I15" s="8"/>
      <c r="J15" s="8"/>
      <c r="K15" s="17" t="s">
        <v>102</v>
      </c>
      <c r="L15" s="17"/>
      <c r="M15" s="8"/>
      <c r="N15" s="8"/>
      <c r="O15" s="8"/>
      <c r="P15" s="8"/>
      <c r="Q15" s="8"/>
      <c r="R15" s="2"/>
      <c r="S15" s="2"/>
    </row>
    <row r="16" ht="47" customHeight="1" spans="1:19">
      <c r="A16" s="2">
        <v>11</v>
      </c>
      <c r="B16" s="2"/>
      <c r="C16" s="8"/>
      <c r="D16" s="8"/>
      <c r="E16" s="8"/>
      <c r="F16" s="8"/>
      <c r="G16" s="8"/>
      <c r="H16" s="8"/>
      <c r="I16" s="8"/>
      <c r="J16" s="8"/>
      <c r="K16" s="17" t="s">
        <v>103</v>
      </c>
      <c r="L16" s="17"/>
      <c r="M16" s="8"/>
      <c r="N16" s="8"/>
      <c r="O16" s="8"/>
      <c r="P16" s="8"/>
      <c r="Q16" s="8"/>
      <c r="R16" s="50"/>
      <c r="S16" s="50"/>
    </row>
    <row r="17" ht="47" customHeight="1" spans="1:19">
      <c r="A17" s="2">
        <v>12</v>
      </c>
      <c r="B17" s="2"/>
      <c r="C17" s="8"/>
      <c r="D17" s="8"/>
      <c r="E17" s="8"/>
      <c r="F17" s="8"/>
      <c r="G17" s="8"/>
      <c r="H17" s="8"/>
      <c r="I17" s="8"/>
      <c r="J17" s="8"/>
      <c r="K17" s="17" t="s">
        <v>104</v>
      </c>
      <c r="L17" s="17"/>
      <c r="M17" s="8"/>
      <c r="N17" s="8"/>
      <c r="O17" s="8"/>
      <c r="P17" s="8"/>
      <c r="Q17" s="8"/>
      <c r="R17" s="2"/>
      <c r="S17" s="2"/>
    </row>
  </sheetData>
  <mergeCells count="14">
    <mergeCell ref="A1:N1"/>
    <mergeCell ref="A2:N2"/>
    <mergeCell ref="A3:N3"/>
    <mergeCell ref="B4:C4"/>
    <mergeCell ref="D4:F4"/>
    <mergeCell ref="H4:I4"/>
    <mergeCell ref="J4:L4"/>
    <mergeCell ref="O4:P4"/>
    <mergeCell ref="R4:S4"/>
    <mergeCell ref="A4:A5"/>
    <mergeCell ref="G4:G5"/>
    <mergeCell ref="M4:M5"/>
    <mergeCell ref="N4:N5"/>
    <mergeCell ref="Q4:Q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用户产品看板-DEMO"/>
  <dimension ref="A1:H54"/>
  <sheetViews>
    <sheetView workbookViewId="0">
      <selection activeCell="A1" sqref="A1"/>
    </sheetView>
  </sheetViews>
  <sheetFormatPr defaultColWidth="9" defaultRowHeight="14" outlineLevelCol="7"/>
  <cols>
    <col min="1" max="1" width="18.8909090909091" style="1" customWidth="1"/>
    <col min="2" max="2" width="70.0272727272727" customWidth="1"/>
    <col min="3" max="3" width="37.5272727272727" customWidth="1"/>
    <col min="4" max="4" width="55.7545454545455" customWidth="1"/>
    <col min="5" max="6" width="13.7090909090909" customWidth="1"/>
    <col min="7" max="7" width="37.7090909090909" customWidth="1"/>
    <col min="8" max="8" width="13.7090909090909" customWidth="1"/>
  </cols>
  <sheetData>
    <row r="1" ht="39.75" customHeight="1" spans="1:8">
      <c r="A1" s="73" t="s">
        <v>105</v>
      </c>
      <c r="B1" s="73" t="s">
        <v>106</v>
      </c>
      <c r="C1" s="73" t="s">
        <v>107</v>
      </c>
      <c r="D1" s="74"/>
      <c r="E1" s="74"/>
      <c r="F1" s="74"/>
      <c r="G1" s="74"/>
      <c r="H1" s="74"/>
    </row>
    <row r="2" ht="37" customHeight="1" spans="1:5">
      <c r="A2" s="75" t="s">
        <v>108</v>
      </c>
      <c r="B2" s="76"/>
      <c r="C2" s="77" t="s">
        <v>109</v>
      </c>
      <c r="D2" s="74"/>
      <c r="E2" s="78" t="s">
        <v>110</v>
      </c>
    </row>
    <row r="3" ht="70.5" customHeight="1" spans="1:8">
      <c r="A3" s="79"/>
      <c r="B3" s="79"/>
      <c r="C3" s="79"/>
      <c r="D3" s="74"/>
      <c r="E3" s="80" t="s">
        <v>3</v>
      </c>
      <c r="F3" s="80" t="s">
        <v>111</v>
      </c>
      <c r="G3" s="80" t="s">
        <v>7</v>
      </c>
      <c r="H3" s="80" t="s">
        <v>112</v>
      </c>
    </row>
    <row r="4" ht="70.5" customHeight="1" spans="1:8">
      <c r="A4" s="79"/>
      <c r="B4" s="79"/>
      <c r="C4" s="79"/>
      <c r="D4" s="74"/>
      <c r="E4" s="80">
        <v>2</v>
      </c>
      <c r="F4" s="81" t="s">
        <v>113</v>
      </c>
      <c r="G4" s="81" t="s">
        <v>114</v>
      </c>
      <c r="H4" s="81"/>
    </row>
    <row r="5" ht="87" customHeight="1" spans="1:8">
      <c r="A5" s="79"/>
      <c r="B5" s="79"/>
      <c r="C5" s="79"/>
      <c r="D5" s="74"/>
      <c r="E5" s="80">
        <v>3</v>
      </c>
      <c r="F5" s="81" t="s">
        <v>115</v>
      </c>
      <c r="G5" s="81" t="s">
        <v>116</v>
      </c>
      <c r="H5" s="81"/>
    </row>
    <row r="6" ht="28" spans="1:8">
      <c r="A6" s="79"/>
      <c r="B6" s="10"/>
      <c r="C6" s="10"/>
      <c r="D6" s="74"/>
      <c r="E6" s="80">
        <v>4</v>
      </c>
      <c r="F6" s="81" t="s">
        <v>117</v>
      </c>
      <c r="G6" s="82" t="s">
        <v>118</v>
      </c>
      <c r="H6" s="81"/>
    </row>
    <row r="7" spans="1:8">
      <c r="A7" s="79"/>
      <c r="B7" s="10"/>
      <c r="C7" s="10"/>
      <c r="D7" s="74"/>
      <c r="E7" s="74"/>
      <c r="F7" s="74"/>
      <c r="G7" s="74"/>
      <c r="H7" s="74"/>
    </row>
    <row r="8" spans="1:8">
      <c r="A8" s="79"/>
      <c r="B8" s="10"/>
      <c r="C8" s="10"/>
      <c r="D8" s="74"/>
      <c r="E8" s="74"/>
      <c r="F8" s="74"/>
      <c r="G8" s="74"/>
      <c r="H8" s="74"/>
    </row>
    <row r="9" spans="1:8">
      <c r="A9" s="79"/>
      <c r="B9" s="10"/>
      <c r="C9" s="10"/>
      <c r="D9" s="74"/>
      <c r="E9" s="74"/>
      <c r="F9" s="74"/>
      <c r="G9" s="74"/>
      <c r="H9" s="74"/>
    </row>
    <row r="10" spans="1:8">
      <c r="A10" s="79"/>
      <c r="B10" s="10"/>
      <c r="C10" s="10"/>
      <c r="D10" s="74"/>
      <c r="E10" s="74"/>
      <c r="F10" s="74"/>
      <c r="G10" s="74"/>
      <c r="H10" s="74"/>
    </row>
    <row r="11" spans="1:8">
      <c r="A11" s="79"/>
      <c r="B11" s="10"/>
      <c r="C11" s="10"/>
      <c r="D11" s="74"/>
      <c r="E11" s="74"/>
      <c r="F11" s="74"/>
      <c r="G11" s="74"/>
      <c r="H11" s="74"/>
    </row>
    <row r="12" spans="1:8">
      <c r="A12" s="79"/>
      <c r="B12" s="10"/>
      <c r="C12" s="10"/>
      <c r="D12" s="74"/>
      <c r="E12" s="74"/>
      <c r="F12" s="74"/>
      <c r="G12" s="74"/>
      <c r="H12" s="74"/>
    </row>
    <row r="13" spans="1:8">
      <c r="A13" s="79"/>
      <c r="B13" s="10"/>
      <c r="C13" s="10"/>
      <c r="D13" s="74"/>
      <c r="E13" s="74"/>
      <c r="F13" s="74"/>
      <c r="G13" s="74"/>
      <c r="H13" s="74"/>
    </row>
    <row r="14" spans="1:8">
      <c r="A14" s="79"/>
      <c r="B14" s="10"/>
      <c r="C14" s="10"/>
      <c r="D14" s="74"/>
      <c r="E14" s="74"/>
      <c r="F14" s="74"/>
      <c r="G14" s="74"/>
      <c r="H14" s="74"/>
    </row>
    <row r="15" spans="1:8">
      <c r="A15" s="75" t="s">
        <v>119</v>
      </c>
      <c r="B15" s="76"/>
      <c r="C15" s="77" t="s">
        <v>120</v>
      </c>
      <c r="D15" s="74"/>
      <c r="E15" s="74"/>
      <c r="F15" s="74"/>
      <c r="G15" s="74"/>
      <c r="H15" s="74"/>
    </row>
    <row r="16" spans="1:8">
      <c r="A16" s="79"/>
      <c r="B16" s="10"/>
      <c r="C16" s="10"/>
      <c r="D16" s="74"/>
      <c r="E16" s="74"/>
      <c r="F16" s="74"/>
      <c r="G16" s="74"/>
      <c r="H16" s="74"/>
    </row>
    <row r="17" spans="1:8">
      <c r="A17" s="79"/>
      <c r="B17" s="10"/>
      <c r="C17" s="10"/>
      <c r="D17" s="74"/>
      <c r="E17" s="74"/>
      <c r="F17" s="74"/>
      <c r="G17" s="74"/>
      <c r="H17" s="74"/>
    </row>
    <row r="18" spans="1:8">
      <c r="A18" s="79"/>
      <c r="B18" s="10"/>
      <c r="C18" s="10"/>
      <c r="D18" s="74"/>
      <c r="E18" s="74"/>
      <c r="F18" s="74"/>
      <c r="G18" s="74"/>
      <c r="H18" s="74"/>
    </row>
    <row r="19" spans="1:8">
      <c r="A19" s="79"/>
      <c r="B19" s="10"/>
      <c r="C19" s="10"/>
      <c r="D19" s="74"/>
      <c r="E19" s="74"/>
      <c r="F19" s="74"/>
      <c r="G19" s="74"/>
      <c r="H19" s="74"/>
    </row>
    <row r="20" spans="1:8">
      <c r="A20" s="79"/>
      <c r="B20" s="10"/>
      <c r="C20" s="10"/>
      <c r="D20" s="74"/>
      <c r="E20" s="74"/>
      <c r="F20" s="74"/>
      <c r="G20" s="74"/>
      <c r="H20" s="74"/>
    </row>
    <row r="21" spans="1:8">
      <c r="A21" s="79"/>
      <c r="B21" s="10"/>
      <c r="C21" s="10"/>
      <c r="D21" s="74"/>
      <c r="E21" s="74"/>
      <c r="F21" s="74"/>
      <c r="G21" s="74"/>
      <c r="H21" s="74"/>
    </row>
    <row r="22" spans="1:8">
      <c r="A22" s="79"/>
      <c r="B22" s="10"/>
      <c r="C22" s="10"/>
      <c r="D22" s="74"/>
      <c r="E22" s="74"/>
      <c r="F22" s="74"/>
      <c r="G22" s="74"/>
      <c r="H22" s="74"/>
    </row>
    <row r="23" spans="1:8">
      <c r="A23" s="79"/>
      <c r="B23" s="10"/>
      <c r="C23" s="10"/>
      <c r="D23" s="74"/>
      <c r="E23" s="74"/>
      <c r="F23" s="74"/>
      <c r="G23" s="74"/>
      <c r="H23" s="74"/>
    </row>
    <row r="24" spans="1:8">
      <c r="A24" s="79"/>
      <c r="B24" s="10"/>
      <c r="C24" s="10"/>
      <c r="D24" s="74"/>
      <c r="E24" s="74"/>
      <c r="F24" s="74"/>
      <c r="G24" s="74"/>
      <c r="H24" s="74"/>
    </row>
    <row r="25" spans="1:8">
      <c r="A25" s="79"/>
      <c r="B25" s="10"/>
      <c r="C25" s="10"/>
      <c r="D25" s="74"/>
      <c r="E25" s="74"/>
      <c r="F25" s="74"/>
      <c r="G25" s="74"/>
      <c r="H25" s="74"/>
    </row>
    <row r="26" spans="1:8">
      <c r="A26" s="79"/>
      <c r="B26" s="10"/>
      <c r="C26" s="10"/>
      <c r="D26" s="74"/>
      <c r="E26" s="74"/>
      <c r="F26" s="74"/>
      <c r="G26" s="74"/>
      <c r="H26" s="74"/>
    </row>
    <row r="27" spans="1:8">
      <c r="A27" s="79"/>
      <c r="B27" s="10"/>
      <c r="C27" s="10"/>
      <c r="D27" s="74"/>
      <c r="E27" s="74"/>
      <c r="F27" s="74"/>
      <c r="G27" s="74"/>
      <c r="H27" s="74"/>
    </row>
    <row r="28" spans="1:8">
      <c r="A28" s="79"/>
      <c r="B28" s="10"/>
      <c r="C28" s="10"/>
      <c r="D28" s="74"/>
      <c r="E28" s="74"/>
      <c r="F28" s="74"/>
      <c r="G28" s="74"/>
      <c r="H28" s="74"/>
    </row>
    <row r="29" spans="1:8">
      <c r="A29" s="79"/>
      <c r="B29" s="10"/>
      <c r="C29" s="10"/>
      <c r="D29" s="74"/>
      <c r="E29" s="74"/>
      <c r="F29" s="74"/>
      <c r="G29" s="74"/>
      <c r="H29" s="74"/>
    </row>
    <row r="30" spans="1:8">
      <c r="A30" s="79"/>
      <c r="B30" s="10"/>
      <c r="C30" s="10"/>
      <c r="D30" s="74"/>
      <c r="E30" s="74"/>
      <c r="F30" s="74"/>
      <c r="G30" s="74"/>
      <c r="H30" s="74"/>
    </row>
    <row r="31" spans="1:8">
      <c r="A31" s="79"/>
      <c r="B31" s="10"/>
      <c r="C31" s="10"/>
      <c r="D31" s="74"/>
      <c r="E31" s="74"/>
      <c r="F31" s="74"/>
      <c r="G31" s="74"/>
      <c r="H31" s="74"/>
    </row>
    <row r="32" spans="1:8">
      <c r="A32" s="79"/>
      <c r="B32" s="10"/>
      <c r="C32" s="10"/>
      <c r="D32" s="74"/>
      <c r="E32" s="74"/>
      <c r="F32" s="74"/>
      <c r="G32" s="74"/>
      <c r="H32" s="74"/>
    </row>
    <row r="33" spans="1:8">
      <c r="A33" s="79"/>
      <c r="B33" s="10"/>
      <c r="C33" s="10"/>
      <c r="D33" s="74"/>
      <c r="E33" s="74"/>
      <c r="F33" s="74"/>
      <c r="G33" s="74"/>
      <c r="H33" s="74"/>
    </row>
    <row r="34" spans="1:8">
      <c r="A34" s="79"/>
      <c r="B34" s="10"/>
      <c r="C34" s="10"/>
      <c r="D34" s="74"/>
      <c r="E34" s="74"/>
      <c r="F34" s="74"/>
      <c r="G34" s="74"/>
      <c r="H34" s="74"/>
    </row>
    <row r="35" spans="1:8">
      <c r="A35" s="75" t="s">
        <v>121</v>
      </c>
      <c r="B35" s="76"/>
      <c r="C35" s="77" t="s">
        <v>122</v>
      </c>
      <c r="D35" s="74"/>
      <c r="E35" s="74"/>
      <c r="F35" s="74"/>
      <c r="G35" s="74"/>
      <c r="H35" s="74"/>
    </row>
    <row r="36" spans="1:8">
      <c r="A36" s="79"/>
      <c r="B36" s="10"/>
      <c r="C36" s="10"/>
      <c r="D36" s="74"/>
      <c r="E36" s="74"/>
      <c r="F36" s="74"/>
      <c r="G36" s="74"/>
      <c r="H36" s="74"/>
    </row>
    <row r="37" spans="1:8">
      <c r="A37" s="79"/>
      <c r="B37" s="10"/>
      <c r="C37" s="10"/>
      <c r="D37" s="74"/>
      <c r="E37" s="74"/>
      <c r="F37" s="74"/>
      <c r="G37" s="74"/>
      <c r="H37" s="74"/>
    </row>
    <row r="38" spans="1:8">
      <c r="A38" s="79"/>
      <c r="B38" s="10"/>
      <c r="C38" s="10"/>
      <c r="D38" s="74"/>
      <c r="E38" s="74"/>
      <c r="F38" s="74"/>
      <c r="G38" s="74"/>
      <c r="H38" s="74"/>
    </row>
    <row r="39" spans="1:8">
      <c r="A39" s="79"/>
      <c r="B39" s="10"/>
      <c r="C39" s="10"/>
      <c r="D39" s="74"/>
      <c r="E39" s="74"/>
      <c r="F39" s="74"/>
      <c r="G39" s="74"/>
      <c r="H39" s="74"/>
    </row>
    <row r="40" spans="1:8">
      <c r="A40" s="79"/>
      <c r="B40" s="10"/>
      <c r="C40" s="10"/>
      <c r="D40" s="74"/>
      <c r="E40" s="74"/>
      <c r="F40" s="74"/>
      <c r="G40" s="74"/>
      <c r="H40" s="74"/>
    </row>
    <row r="41" spans="1:8">
      <c r="A41" s="79"/>
      <c r="B41" s="10"/>
      <c r="C41" s="10"/>
      <c r="D41" s="74"/>
      <c r="E41" s="74"/>
      <c r="F41" s="74"/>
      <c r="G41" s="74"/>
      <c r="H41" s="74"/>
    </row>
    <row r="42" spans="1:8">
      <c r="A42" s="79"/>
      <c r="B42" s="10"/>
      <c r="C42" s="10"/>
      <c r="D42" s="74"/>
      <c r="E42" s="74"/>
      <c r="F42" s="74"/>
      <c r="G42" s="74"/>
      <c r="H42" s="74"/>
    </row>
    <row r="43" spans="1:8">
      <c r="A43" s="79"/>
      <c r="B43" s="10"/>
      <c r="C43" s="10"/>
      <c r="D43" s="74"/>
      <c r="E43" s="74"/>
      <c r="F43" s="74"/>
      <c r="G43" s="74"/>
      <c r="H43" s="74"/>
    </row>
    <row r="44" spans="1:8">
      <c r="A44" s="79"/>
      <c r="B44" s="10"/>
      <c r="C44" s="10"/>
      <c r="D44" s="74"/>
      <c r="E44" s="74"/>
      <c r="F44" s="74"/>
      <c r="G44" s="74"/>
      <c r="H44" s="74"/>
    </row>
    <row r="45" spans="1:8">
      <c r="A45" s="79"/>
      <c r="B45" s="10"/>
      <c r="C45" s="10"/>
      <c r="D45" s="74"/>
      <c r="E45" s="74"/>
      <c r="F45" s="74"/>
      <c r="G45" s="74"/>
      <c r="H45" s="74"/>
    </row>
    <row r="46" spans="1:8">
      <c r="A46" s="79"/>
      <c r="B46" s="10"/>
      <c r="C46" s="10"/>
      <c r="D46" s="74"/>
      <c r="E46" s="74"/>
      <c r="F46" s="74"/>
      <c r="G46" s="74"/>
      <c r="H46" s="74"/>
    </row>
    <row r="47" spans="1:8">
      <c r="A47" s="79"/>
      <c r="B47" s="10"/>
      <c r="C47" s="10"/>
      <c r="D47" s="74"/>
      <c r="E47" s="74"/>
      <c r="F47" s="74"/>
      <c r="G47" s="74"/>
      <c r="H47" s="74"/>
    </row>
    <row r="48" spans="1:8">
      <c r="A48" s="79"/>
      <c r="B48" s="10"/>
      <c r="C48" s="10"/>
      <c r="D48" s="74"/>
      <c r="E48" s="74"/>
      <c r="F48" s="74"/>
      <c r="G48" s="74"/>
      <c r="H48" s="74"/>
    </row>
    <row r="49" spans="1:8">
      <c r="A49" s="79"/>
      <c r="B49" s="10"/>
      <c r="C49" s="10"/>
      <c r="D49" s="74"/>
      <c r="E49" s="74"/>
      <c r="F49" s="74"/>
      <c r="G49" s="74"/>
      <c r="H49" s="74"/>
    </row>
    <row r="50" spans="1:8">
      <c r="A50" s="79"/>
      <c r="B50" s="10"/>
      <c r="C50" s="10"/>
      <c r="D50" s="74"/>
      <c r="E50" s="74"/>
      <c r="F50" s="74"/>
      <c r="G50" s="74"/>
      <c r="H50" s="74"/>
    </row>
    <row r="51" spans="1:8">
      <c r="A51" s="79"/>
      <c r="B51" s="10"/>
      <c r="C51" s="10"/>
      <c r="D51" s="74"/>
      <c r="E51" s="74"/>
      <c r="F51" s="74"/>
      <c r="G51" s="74"/>
      <c r="H51" s="74"/>
    </row>
    <row r="52" spans="1:8">
      <c r="A52" s="79"/>
      <c r="B52" s="10"/>
      <c r="C52" s="10"/>
      <c r="D52" s="74"/>
      <c r="E52" s="74"/>
      <c r="F52" s="74"/>
      <c r="G52" s="74"/>
      <c r="H52" s="74"/>
    </row>
    <row r="53" spans="1:8">
      <c r="A53" s="79"/>
      <c r="B53" s="10"/>
      <c r="C53" s="10"/>
      <c r="D53" s="74"/>
      <c r="E53" s="74"/>
      <c r="F53" s="74"/>
      <c r="G53" s="74"/>
      <c r="H53" s="74"/>
    </row>
    <row r="54" spans="1:8">
      <c r="A54" s="79"/>
      <c r="B54" s="10"/>
      <c r="C54" s="10"/>
      <c r="D54" s="74"/>
      <c r="E54" s="74"/>
      <c r="F54" s="74"/>
      <c r="G54" s="74"/>
      <c r="H54" s="74"/>
    </row>
  </sheetData>
  <mergeCells count="10">
    <mergeCell ref="E2:H2"/>
    <mergeCell ref="A2:A14"/>
    <mergeCell ref="A15:A34"/>
    <mergeCell ref="A35:A54"/>
    <mergeCell ref="B2:B14"/>
    <mergeCell ref="B15:B34"/>
    <mergeCell ref="B35:B54"/>
    <mergeCell ref="C2:C14"/>
    <mergeCell ref="C15:C34"/>
    <mergeCell ref="C35:C5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E37"/>
  <sheetViews>
    <sheetView zoomScale="85" zoomScaleNormal="85" workbookViewId="0">
      <selection activeCell="A1" sqref="A1"/>
    </sheetView>
  </sheetViews>
  <sheetFormatPr defaultColWidth="9" defaultRowHeight="14" outlineLevelCol="4"/>
  <cols>
    <col min="2" max="2" width="24.1272727272727" customWidth="1"/>
    <col min="3" max="3" width="73.3727272727273" customWidth="1"/>
    <col min="4" max="4" width="70" customWidth="1"/>
  </cols>
  <sheetData>
    <row r="1" spans="1:5">
      <c r="A1" s="56" t="s">
        <v>123</v>
      </c>
      <c r="B1" s="56" t="s">
        <v>124</v>
      </c>
      <c r="C1" s="56" t="s">
        <v>125</v>
      </c>
      <c r="D1" s="56" t="s">
        <v>107</v>
      </c>
      <c r="E1" s="57"/>
    </row>
    <row r="2" spans="1:5">
      <c r="A2" s="58" t="s">
        <v>126</v>
      </c>
      <c r="B2" s="59" t="s">
        <v>127</v>
      </c>
      <c r="C2" s="60" t="s">
        <v>128</v>
      </c>
      <c r="D2" s="61"/>
      <c r="E2" s="57"/>
    </row>
    <row r="3" spans="1:5">
      <c r="A3" s="58"/>
      <c r="B3" s="59" t="s">
        <v>129</v>
      </c>
      <c r="C3" s="60" t="s">
        <v>130</v>
      </c>
      <c r="D3" s="61"/>
      <c r="E3" s="57"/>
    </row>
    <row r="4" spans="1:5">
      <c r="A4" s="58"/>
      <c r="B4" s="59" t="s">
        <v>131</v>
      </c>
      <c r="C4" s="60" t="s">
        <v>132</v>
      </c>
      <c r="D4" s="61"/>
      <c r="E4" s="57"/>
    </row>
    <row r="5" spans="1:5">
      <c r="A5" s="58"/>
      <c r="B5" s="59" t="s">
        <v>133</v>
      </c>
      <c r="C5" s="62" t="s">
        <v>134</v>
      </c>
      <c r="D5" s="61"/>
      <c r="E5" s="57"/>
    </row>
    <row r="6" ht="26" spans="1:5">
      <c r="A6" s="58"/>
      <c r="B6" s="59" t="s">
        <v>135</v>
      </c>
      <c r="C6" s="60" t="s">
        <v>136</v>
      </c>
      <c r="D6" s="61"/>
      <c r="E6" s="57"/>
    </row>
    <row r="7" ht="26" spans="1:5">
      <c r="A7" s="63" t="s">
        <v>137</v>
      </c>
      <c r="B7" s="64" t="s">
        <v>138</v>
      </c>
      <c r="C7" s="65" t="s">
        <v>139</v>
      </c>
      <c r="D7" s="61"/>
      <c r="E7" s="66" t="s">
        <v>140</v>
      </c>
    </row>
    <row r="8" spans="1:5">
      <c r="A8" s="63"/>
      <c r="B8" s="64" t="s">
        <v>141</v>
      </c>
      <c r="C8" s="65" t="s">
        <v>142</v>
      </c>
      <c r="D8" s="61"/>
      <c r="E8" s="57"/>
    </row>
    <row r="9" spans="1:5">
      <c r="A9" s="63"/>
      <c r="B9" s="64" t="s">
        <v>143</v>
      </c>
      <c r="C9" s="64" t="s">
        <v>144</v>
      </c>
      <c r="D9" s="61"/>
      <c r="E9" s="57"/>
    </row>
    <row r="10" spans="1:5">
      <c r="A10" s="63"/>
      <c r="B10" s="64" t="s">
        <v>145</v>
      </c>
      <c r="C10" s="64" t="s">
        <v>146</v>
      </c>
      <c r="D10" s="61"/>
      <c r="E10" s="57"/>
    </row>
    <row r="11" ht="78" spans="1:5">
      <c r="A11" s="63"/>
      <c r="B11" s="64" t="s">
        <v>147</v>
      </c>
      <c r="C11" s="67" t="s">
        <v>148</v>
      </c>
      <c r="D11" s="61"/>
      <c r="E11" s="57"/>
    </row>
    <row r="12" ht="26" spans="1:5">
      <c r="A12" s="68" t="s">
        <v>149</v>
      </c>
      <c r="B12" s="59" t="s">
        <v>150</v>
      </c>
      <c r="C12" s="60" t="s">
        <v>151</v>
      </c>
      <c r="D12" s="61"/>
      <c r="E12" s="57"/>
    </row>
    <row r="13" ht="26" spans="1:5">
      <c r="A13" s="68"/>
      <c r="B13" s="59" t="s">
        <v>152</v>
      </c>
      <c r="C13" s="60" t="s">
        <v>153</v>
      </c>
      <c r="D13" s="61"/>
      <c r="E13" s="57"/>
    </row>
    <row r="14" ht="26" spans="1:5">
      <c r="A14" s="68"/>
      <c r="B14" s="68" t="s">
        <v>154</v>
      </c>
      <c r="C14" s="60" t="s">
        <v>155</v>
      </c>
      <c r="D14" s="61"/>
      <c r="E14" s="57"/>
    </row>
    <row r="15" ht="26" spans="1:5">
      <c r="A15" s="68"/>
      <c r="B15" s="58" t="s">
        <v>156</v>
      </c>
      <c r="C15" s="60" t="s">
        <v>157</v>
      </c>
      <c r="D15" s="61"/>
      <c r="E15" s="57"/>
    </row>
    <row r="16" spans="1:5">
      <c r="A16" s="57"/>
      <c r="B16" s="57"/>
      <c r="C16" s="57"/>
      <c r="D16" s="57"/>
      <c r="E16" s="57"/>
    </row>
    <row r="17" spans="1:5">
      <c r="A17" s="57"/>
      <c r="B17" s="69" t="s">
        <v>158</v>
      </c>
      <c r="C17" s="57"/>
      <c r="D17" s="57"/>
      <c r="E17" s="57"/>
    </row>
    <row r="18" spans="1:5">
      <c r="A18" s="57"/>
      <c r="B18" s="66" t="s">
        <v>159</v>
      </c>
      <c r="C18" s="69" t="s">
        <v>160</v>
      </c>
      <c r="D18" s="66" t="s">
        <v>161</v>
      </c>
      <c r="E18" s="57"/>
    </row>
    <row r="19" spans="1:5">
      <c r="A19" s="57"/>
      <c r="B19" s="57"/>
      <c r="C19" s="57"/>
      <c r="D19" s="57"/>
      <c r="E19" s="57"/>
    </row>
    <row r="20" ht="26" spans="1:5">
      <c r="A20" s="57"/>
      <c r="B20" s="70" t="s">
        <v>162</v>
      </c>
      <c r="C20" s="71" t="s">
        <v>163</v>
      </c>
      <c r="D20" s="71" t="s">
        <v>164</v>
      </c>
      <c r="E20" s="69" t="s">
        <v>165</v>
      </c>
    </row>
    <row r="21" spans="1:5">
      <c r="A21" s="66" t="s">
        <v>166</v>
      </c>
      <c r="B21" s="66" t="s">
        <v>167</v>
      </c>
      <c r="C21" s="57"/>
      <c r="D21" s="57"/>
      <c r="E21" s="57"/>
    </row>
    <row r="22" spans="1:5">
      <c r="A22" s="57"/>
      <c r="B22" s="57"/>
      <c r="C22" s="57"/>
      <c r="D22" s="57"/>
      <c r="E22" s="57"/>
    </row>
    <row r="23" spans="1:5">
      <c r="A23" s="57"/>
      <c r="B23" s="57"/>
      <c r="C23" s="57"/>
      <c r="D23" s="57"/>
      <c r="E23" s="57"/>
    </row>
    <row r="24" spans="1:5">
      <c r="A24" s="57"/>
      <c r="B24" s="57"/>
      <c r="C24" s="57"/>
      <c r="D24" s="57"/>
      <c r="E24" s="57"/>
    </row>
    <row r="25" spans="1:5">
      <c r="A25" s="57"/>
      <c r="B25" s="72">
        <v>6</v>
      </c>
      <c r="C25" s="57"/>
      <c r="D25" s="57"/>
      <c r="E25" s="57"/>
    </row>
    <row r="26" spans="1:5">
      <c r="A26" s="57"/>
      <c r="B26" s="72">
        <v>7</v>
      </c>
      <c r="C26" s="57"/>
      <c r="D26" s="57"/>
      <c r="E26" s="57"/>
    </row>
    <row r="27" spans="1:5">
      <c r="A27" s="57"/>
      <c r="B27" s="57"/>
      <c r="C27" s="57"/>
      <c r="D27" s="57"/>
      <c r="E27" s="57"/>
    </row>
    <row r="28" spans="1:5">
      <c r="A28" s="57"/>
      <c r="B28" s="57"/>
      <c r="C28" s="57"/>
      <c r="D28" s="57"/>
      <c r="E28" s="57"/>
    </row>
    <row r="29" spans="1:5">
      <c r="A29" s="57"/>
      <c r="B29" s="57"/>
      <c r="C29" s="57"/>
      <c r="D29" s="57"/>
      <c r="E29" s="57"/>
    </row>
    <row r="30" spans="1:5">
      <c r="A30" s="57"/>
      <c r="B30" s="57"/>
      <c r="C30" s="57"/>
      <c r="D30" s="57"/>
      <c r="E30" s="57"/>
    </row>
    <row r="31" spans="1:5">
      <c r="A31" s="57"/>
      <c r="B31" s="57"/>
      <c r="C31" s="57"/>
      <c r="D31" s="57"/>
      <c r="E31" s="57"/>
    </row>
    <row r="32" spans="1:5">
      <c r="A32" s="57"/>
      <c r="B32" s="69" t="s">
        <v>168</v>
      </c>
      <c r="C32" s="69" t="s">
        <v>169</v>
      </c>
      <c r="D32" s="57"/>
      <c r="E32" s="57"/>
    </row>
    <row r="33" spans="1:5">
      <c r="A33" s="57"/>
      <c r="B33" s="57"/>
      <c r="C33" s="57"/>
      <c r="D33" s="57"/>
      <c r="E33" s="57"/>
    </row>
    <row r="34" spans="1:5">
      <c r="A34" s="57"/>
      <c r="B34" s="57"/>
      <c r="C34" s="57"/>
      <c r="D34" s="57"/>
      <c r="E34" s="57"/>
    </row>
    <row r="35" spans="1:5">
      <c r="A35" s="57"/>
      <c r="B35" s="57"/>
      <c r="C35" s="66" t="s">
        <v>170</v>
      </c>
      <c r="D35" s="57"/>
      <c r="E35" s="57"/>
    </row>
    <row r="36" spans="1:5">
      <c r="A36" s="57"/>
      <c r="B36" s="57"/>
      <c r="C36" s="57"/>
      <c r="D36" s="57"/>
      <c r="E36" s="57"/>
    </row>
    <row r="37" spans="1:5">
      <c r="A37" s="57"/>
      <c r="B37" s="57"/>
      <c r="C37" s="66" t="s">
        <v>171</v>
      </c>
      <c r="D37" s="57"/>
      <c r="E37" s="57"/>
    </row>
  </sheetData>
  <mergeCells count="4">
    <mergeCell ref="A2:A6"/>
    <mergeCell ref="A7:A11"/>
    <mergeCell ref="A12:A15"/>
    <mergeCell ref="D2:D1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85" zoomScaleNormal="85" workbookViewId="0">
      <selection activeCell="A1" sqref="A1"/>
    </sheetView>
  </sheetViews>
  <sheetFormatPr defaultColWidth="9" defaultRowHeight="14" outlineLevelRow="2" outlineLevelCol="3"/>
  <cols>
    <col min="2" max="2" width="27.4909090909091" customWidth="1"/>
    <col min="3" max="3" width="30.3727272727273" customWidth="1"/>
    <col min="4" max="4" width="42.3727272727273" customWidth="1"/>
  </cols>
  <sheetData>
    <row r="1" ht="37" customHeight="1" spans="1:4">
      <c r="A1" s="52"/>
      <c r="B1" s="53" t="s">
        <v>172</v>
      </c>
      <c r="C1" s="53" t="s">
        <v>173</v>
      </c>
      <c r="D1" s="53" t="s">
        <v>174</v>
      </c>
    </row>
    <row r="2" ht="66" customHeight="1" spans="1:4">
      <c r="A2" s="52" t="s">
        <v>175</v>
      </c>
      <c r="B2" s="54" t="s">
        <v>176</v>
      </c>
      <c r="C2" s="52" t="s">
        <v>177</v>
      </c>
      <c r="D2" s="52" t="s">
        <v>178</v>
      </c>
    </row>
    <row r="3" ht="66" customHeight="1" spans="1:4">
      <c r="A3" s="52" t="s">
        <v>179</v>
      </c>
      <c r="B3" s="55" t="s">
        <v>180</v>
      </c>
      <c r="C3" s="52" t="s">
        <v>177</v>
      </c>
      <c r="D3" s="52" t="s">
        <v>181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2:D20"/>
  <sheetViews>
    <sheetView zoomScale="130" zoomScaleNormal="130" workbookViewId="0">
      <selection activeCell="A1" sqref="A1"/>
    </sheetView>
  </sheetViews>
  <sheetFormatPr defaultColWidth="9" defaultRowHeight="14" outlineLevelCol="3"/>
  <cols>
    <col min="1" max="1" width="9" style="1"/>
    <col min="2" max="2" width="8.61818181818182" style="1" customWidth="1"/>
    <col min="3" max="3" width="49" style="48" customWidth="1"/>
    <col min="4" max="4" width="10.3272727272727" style="1" customWidth="1"/>
  </cols>
  <sheetData>
    <row r="2" spans="1:4">
      <c r="A2" s="2" t="s">
        <v>182</v>
      </c>
      <c r="B2" s="2" t="s">
        <v>183</v>
      </c>
      <c r="C2" s="49" t="s">
        <v>184</v>
      </c>
      <c r="D2" s="50" t="s">
        <v>185</v>
      </c>
    </row>
    <row r="3" ht="28" spans="1:4">
      <c r="A3" s="51">
        <v>45710</v>
      </c>
      <c r="B3" s="51">
        <v>45707</v>
      </c>
      <c r="C3" s="49" t="s">
        <v>186</v>
      </c>
      <c r="D3" s="2" t="s">
        <v>187</v>
      </c>
    </row>
    <row r="4" ht="28" spans="1:4">
      <c r="A4" s="51"/>
      <c r="B4" s="51">
        <v>45709</v>
      </c>
      <c r="C4" s="17" t="s">
        <v>188</v>
      </c>
      <c r="D4" s="2" t="s">
        <v>22</v>
      </c>
    </row>
    <row r="5" ht="20" customHeight="1" spans="1:4">
      <c r="A5" s="2"/>
      <c r="B5" s="51">
        <v>45710</v>
      </c>
      <c r="C5" s="17" t="s">
        <v>189</v>
      </c>
      <c r="D5" s="2" t="s">
        <v>187</v>
      </c>
    </row>
    <row r="6" spans="1:4">
      <c r="A6" s="2"/>
      <c r="B6" s="51">
        <v>45709</v>
      </c>
      <c r="C6" s="17" t="s">
        <v>190</v>
      </c>
      <c r="D6" s="2" t="s">
        <v>21</v>
      </c>
    </row>
    <row r="7" spans="1:4">
      <c r="A7" s="2"/>
      <c r="B7" s="51"/>
      <c r="C7" s="17" t="s">
        <v>191</v>
      </c>
      <c r="D7" s="2" t="s">
        <v>192</v>
      </c>
    </row>
    <row r="8" spans="1:4">
      <c r="A8" s="2"/>
      <c r="B8" s="51"/>
      <c r="C8" s="17" t="s">
        <v>193</v>
      </c>
      <c r="D8" s="2" t="s">
        <v>192</v>
      </c>
    </row>
    <row r="9" spans="1:4">
      <c r="A9" s="2"/>
      <c r="B9" s="51">
        <v>45716</v>
      </c>
      <c r="C9" s="17" t="s">
        <v>194</v>
      </c>
      <c r="D9" s="2"/>
    </row>
    <row r="10" spans="1:4">
      <c r="A10" s="2"/>
      <c r="B10" s="51">
        <v>45721</v>
      </c>
      <c r="C10" s="17" t="s">
        <v>195</v>
      </c>
      <c r="D10" s="2"/>
    </row>
    <row r="11" ht="28" spans="1:4">
      <c r="A11" s="2"/>
      <c r="B11" s="51">
        <v>45721</v>
      </c>
      <c r="C11" s="17" t="s">
        <v>196</v>
      </c>
      <c r="D11" s="2" t="s">
        <v>22</v>
      </c>
    </row>
    <row r="12" spans="1:4">
      <c r="A12" s="51">
        <v>45726</v>
      </c>
      <c r="B12" s="51"/>
      <c r="C12" s="17" t="s">
        <v>197</v>
      </c>
      <c r="D12" s="2" t="s">
        <v>187</v>
      </c>
    </row>
    <row r="13" spans="1:4">
      <c r="A13" s="2"/>
      <c r="B13" s="2"/>
      <c r="C13" s="49" t="s">
        <v>198</v>
      </c>
      <c r="D13" s="2"/>
    </row>
    <row r="14" spans="1:4">
      <c r="A14" s="51">
        <v>45746</v>
      </c>
      <c r="B14" s="51"/>
      <c r="C14" s="17" t="s">
        <v>199</v>
      </c>
      <c r="D14" s="2"/>
    </row>
    <row r="15" spans="1:4">
      <c r="A15" s="51"/>
      <c r="B15" s="51"/>
      <c r="C15" s="17" t="s">
        <v>200</v>
      </c>
      <c r="D15" s="2"/>
    </row>
    <row r="16" spans="1:4">
      <c r="A16" s="51">
        <v>45762</v>
      </c>
      <c r="B16" s="51"/>
      <c r="C16" s="17" t="s">
        <v>201</v>
      </c>
      <c r="D16" s="2"/>
    </row>
    <row r="17" spans="1:4">
      <c r="A17" s="51">
        <v>45777</v>
      </c>
      <c r="B17" s="51"/>
      <c r="C17" s="17" t="s">
        <v>202</v>
      </c>
      <c r="D17" s="2"/>
    </row>
    <row r="18" spans="1:4">
      <c r="A18" s="51">
        <v>45807</v>
      </c>
      <c r="B18" s="51"/>
      <c r="C18" s="17" t="s">
        <v>203</v>
      </c>
      <c r="D18" s="2"/>
    </row>
    <row r="19" spans="1:4">
      <c r="A19" s="2"/>
      <c r="B19" s="2"/>
      <c r="C19" s="17" t="s">
        <v>204</v>
      </c>
      <c r="D19" s="2"/>
    </row>
    <row r="20" spans="1:4">
      <c r="A20" s="51">
        <v>45838</v>
      </c>
      <c r="B20" s="51"/>
      <c r="C20" s="17" t="s">
        <v>205</v>
      </c>
      <c r="D20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zoomScale="70" zoomScaleNormal="70" topLeftCell="A30" workbookViewId="0">
      <selection activeCell="A1" sqref="A1"/>
    </sheetView>
  </sheetViews>
  <sheetFormatPr defaultColWidth="8.72727272727273" defaultRowHeight="14"/>
  <cols>
    <col min="1" max="1" width="4.02727272727273" style="1" customWidth="1"/>
    <col min="2" max="2" width="8.81818181818182" customWidth="1"/>
    <col min="3" max="3" width="16.8727272727273" customWidth="1"/>
    <col min="4" max="4" width="13.6090909090909" customWidth="1"/>
    <col min="5" max="5" width="15.1909090909091" customWidth="1"/>
    <col min="6" max="6" width="13.8909090909091" customWidth="1"/>
    <col min="7" max="9" width="13.6363636363636" customWidth="1"/>
    <col min="10" max="10" width="12.2090909090909" customWidth="1"/>
    <col min="11" max="11" width="13.6090909090909" customWidth="1"/>
    <col min="12" max="12" width="12.2090909090909" customWidth="1"/>
    <col min="13" max="13" width="12.1363636363636" customWidth="1"/>
    <col min="14" max="14" width="10.9090909090909" customWidth="1"/>
    <col min="15" max="16" width="12.8818181818182" customWidth="1"/>
    <col min="17" max="17" width="13" customWidth="1"/>
    <col min="18" max="18" width="12.6363636363636" customWidth="1"/>
  </cols>
  <sheetData>
    <row r="1" ht="33" customHeight="1" spans="1:9">
      <c r="A1" s="2"/>
      <c r="B1" s="3" t="s">
        <v>206</v>
      </c>
      <c r="C1" s="4"/>
      <c r="D1" s="2" t="s">
        <v>207</v>
      </c>
      <c r="E1" s="2" t="s">
        <v>208</v>
      </c>
      <c r="F1" s="2" t="s">
        <v>209</v>
      </c>
      <c r="G1" s="3" t="s">
        <v>210</v>
      </c>
      <c r="H1" s="3"/>
      <c r="I1" s="3"/>
    </row>
    <row r="2" ht="33" customHeight="1" spans="1:9">
      <c r="A2" s="2">
        <v>1</v>
      </c>
      <c r="B2" s="5" t="s">
        <v>211</v>
      </c>
      <c r="C2" s="5"/>
      <c r="D2" s="6" t="s">
        <v>212</v>
      </c>
      <c r="E2" s="6" t="s">
        <v>212</v>
      </c>
      <c r="F2" s="6" t="s">
        <v>212</v>
      </c>
      <c r="G2" s="5" t="s">
        <v>213</v>
      </c>
      <c r="H2" s="5"/>
      <c r="I2" s="5"/>
    </row>
    <row r="3" ht="40" customHeight="1" spans="1:9">
      <c r="A3" s="2">
        <v>2</v>
      </c>
      <c r="B3" s="5" t="s">
        <v>214</v>
      </c>
      <c r="C3" s="5"/>
      <c r="D3" s="2" t="s">
        <v>215</v>
      </c>
      <c r="E3" s="6" t="s">
        <v>212</v>
      </c>
      <c r="F3" s="2" t="s">
        <v>215</v>
      </c>
      <c r="G3" s="7" t="s">
        <v>216</v>
      </c>
      <c r="H3" s="5"/>
      <c r="I3" s="5"/>
    </row>
    <row r="4" ht="33" customHeight="1" spans="1:9">
      <c r="A4" s="2">
        <v>3</v>
      </c>
      <c r="B4" s="5" t="s">
        <v>217</v>
      </c>
      <c r="C4" s="5"/>
      <c r="D4" s="6" t="s">
        <v>212</v>
      </c>
      <c r="E4" s="6" t="s">
        <v>212</v>
      </c>
      <c r="F4" s="6" t="s">
        <v>212</v>
      </c>
      <c r="G4" s="5" t="s">
        <v>218</v>
      </c>
      <c r="H4" s="5"/>
      <c r="I4" s="5"/>
    </row>
    <row r="5" ht="49" customHeight="1" spans="1:9">
      <c r="A5" s="2">
        <v>4</v>
      </c>
      <c r="B5" s="5" t="s">
        <v>219</v>
      </c>
      <c r="C5" s="5"/>
      <c r="D5" s="6" t="s">
        <v>212</v>
      </c>
      <c r="E5" s="6" t="s">
        <v>212</v>
      </c>
      <c r="F5" s="2" t="s">
        <v>215</v>
      </c>
      <c r="G5" s="7" t="s">
        <v>220</v>
      </c>
      <c r="H5" s="5"/>
      <c r="I5" s="5"/>
    </row>
    <row r="6" ht="50" customHeight="1" spans="1:9">
      <c r="A6" s="2">
        <v>5</v>
      </c>
      <c r="B6" s="5" t="s">
        <v>221</v>
      </c>
      <c r="C6" s="5"/>
      <c r="D6" s="6" t="s">
        <v>212</v>
      </c>
      <c r="E6" s="6" t="s">
        <v>212</v>
      </c>
      <c r="F6" s="2" t="s">
        <v>215</v>
      </c>
      <c r="G6" s="7" t="s">
        <v>222</v>
      </c>
      <c r="H6" s="5"/>
      <c r="I6" s="5"/>
    </row>
    <row r="7" ht="33" customHeight="1" spans="1:9">
      <c r="A7" s="2">
        <v>6</v>
      </c>
      <c r="B7" s="5" t="s">
        <v>223</v>
      </c>
      <c r="C7" s="5"/>
      <c r="D7" s="2" t="s">
        <v>215</v>
      </c>
      <c r="E7" s="6" t="s">
        <v>212</v>
      </c>
      <c r="F7" s="2" t="s">
        <v>215</v>
      </c>
      <c r="G7" s="5" t="s">
        <v>224</v>
      </c>
      <c r="H7" s="5"/>
      <c r="I7" s="5"/>
    </row>
    <row r="8" ht="35" customHeight="1" spans="1:9">
      <c r="A8" s="2">
        <v>7</v>
      </c>
      <c r="B8" s="5" t="s">
        <v>225</v>
      </c>
      <c r="C8" s="5"/>
      <c r="D8" s="2" t="s">
        <v>215</v>
      </c>
      <c r="E8" s="2" t="s">
        <v>215</v>
      </c>
      <c r="F8" s="6" t="s">
        <v>212</v>
      </c>
      <c r="G8" s="7" t="s">
        <v>226</v>
      </c>
      <c r="H8" s="5"/>
      <c r="I8" s="5"/>
    </row>
    <row r="9" ht="31" customHeight="1" spans="1:9">
      <c r="A9" s="2">
        <v>8</v>
      </c>
      <c r="B9" s="5" t="s">
        <v>227</v>
      </c>
      <c r="C9" s="5"/>
      <c r="D9" s="2" t="s">
        <v>215</v>
      </c>
      <c r="E9" s="2" t="s">
        <v>215</v>
      </c>
      <c r="F9" s="6" t="s">
        <v>212</v>
      </c>
      <c r="G9" s="7" t="s">
        <v>228</v>
      </c>
      <c r="H9" s="5"/>
      <c r="I9" s="5"/>
    </row>
    <row r="10" ht="31" customHeight="1" spans="1:9">
      <c r="A10" s="2">
        <v>9</v>
      </c>
      <c r="B10" s="3"/>
      <c r="C10" s="3"/>
      <c r="D10" s="8"/>
      <c r="E10" s="8"/>
      <c r="F10" s="8"/>
      <c r="G10" s="5"/>
      <c r="H10" s="5"/>
      <c r="I10" s="5"/>
    </row>
    <row r="11" ht="31" customHeight="1" spans="1:9">
      <c r="A11" s="2">
        <v>10</v>
      </c>
      <c r="B11" s="3"/>
      <c r="C11" s="3"/>
      <c r="D11" s="8"/>
      <c r="E11" s="8"/>
      <c r="F11" s="8"/>
      <c r="G11" s="5"/>
      <c r="H11" s="5"/>
      <c r="I11" s="5"/>
    </row>
    <row r="12" ht="19" customHeight="1"/>
    <row r="13" ht="19" customHeight="1" spans="2:9">
      <c r="B13" s="7" t="s">
        <v>229</v>
      </c>
      <c r="C13" s="7"/>
      <c r="D13" s="7"/>
      <c r="E13" s="7"/>
      <c r="F13" s="7"/>
      <c r="G13" s="7"/>
      <c r="H13" s="7"/>
      <c r="I13" s="7"/>
    </row>
    <row r="14" ht="19" customHeight="1" spans="2:9">
      <c r="B14" s="7"/>
      <c r="C14" s="7"/>
      <c r="D14" s="7"/>
      <c r="E14" s="7"/>
      <c r="F14" s="7"/>
      <c r="G14" s="7"/>
      <c r="H14" s="7"/>
      <c r="I14" s="7"/>
    </row>
    <row r="15" ht="19" customHeight="1" spans="2:9">
      <c r="B15" s="7"/>
      <c r="C15" s="7"/>
      <c r="D15" s="7"/>
      <c r="E15" s="7"/>
      <c r="F15" s="7"/>
      <c r="G15" s="7"/>
      <c r="H15" s="7"/>
      <c r="I15" s="7"/>
    </row>
    <row r="16" ht="19" customHeight="1" spans="2:9">
      <c r="B16" s="7"/>
      <c r="C16" s="7"/>
      <c r="D16" s="7"/>
      <c r="E16" s="7"/>
      <c r="F16" s="7"/>
      <c r="G16" s="7"/>
      <c r="H16" s="7"/>
      <c r="I16" s="7"/>
    </row>
    <row r="17" ht="19" customHeight="1" spans="2:9">
      <c r="B17" s="7"/>
      <c r="C17" s="7"/>
      <c r="D17" s="7"/>
      <c r="E17" s="7"/>
      <c r="F17" s="7"/>
      <c r="G17" s="7"/>
      <c r="H17" s="7"/>
      <c r="I17" s="7"/>
    </row>
    <row r="18" ht="19" customHeight="1" spans="2:9">
      <c r="B18" s="7"/>
      <c r="C18" s="7"/>
      <c r="D18" s="7"/>
      <c r="E18" s="7"/>
      <c r="F18" s="7"/>
      <c r="G18" s="7"/>
      <c r="H18" s="7"/>
      <c r="I18" s="7"/>
    </row>
    <row r="19" ht="19" customHeight="1" spans="2:9">
      <c r="B19" s="7"/>
      <c r="C19" s="7"/>
      <c r="D19" s="7"/>
      <c r="E19" s="7"/>
      <c r="F19" s="7"/>
      <c r="G19" s="7"/>
      <c r="H19" s="7"/>
      <c r="I19" s="7"/>
    </row>
    <row r="20" ht="19" customHeight="1" spans="2:9">
      <c r="B20" s="7"/>
      <c r="C20" s="7"/>
      <c r="D20" s="7"/>
      <c r="E20" s="7"/>
      <c r="F20" s="7"/>
      <c r="G20" s="7"/>
      <c r="H20" s="7"/>
      <c r="I20" s="7"/>
    </row>
    <row r="21" ht="19" customHeight="1" spans="2:9">
      <c r="B21" s="7"/>
      <c r="C21" s="7"/>
      <c r="D21" s="7"/>
      <c r="E21" s="7"/>
      <c r="F21" s="7"/>
      <c r="G21" s="7"/>
      <c r="H21" s="7"/>
      <c r="I21" s="7"/>
    </row>
    <row r="22" ht="19" customHeight="1"/>
    <row r="24" ht="24" customHeight="1" spans="2:14">
      <c r="B24" s="9" t="s">
        <v>230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5" customHeight="1" spans="2:14">
      <c r="B25" s="11" t="s">
        <v>231</v>
      </c>
      <c r="C25" s="12"/>
      <c r="D25" s="12"/>
      <c r="E25" s="12"/>
      <c r="F25" s="12"/>
      <c r="G25"/>
      <c r="H25" s="13" t="s">
        <v>232</v>
      </c>
      <c r="I25" s="32" t="s">
        <v>233</v>
      </c>
      <c r="J25" s="33" t="s">
        <v>182</v>
      </c>
      <c r="K25" s="33" t="s">
        <v>234</v>
      </c>
      <c r="L25" s="33" t="s">
        <v>235</v>
      </c>
      <c r="M25" s="33" t="s">
        <v>236</v>
      </c>
      <c r="N25" s="33" t="s">
        <v>237</v>
      </c>
    </row>
    <row r="26" ht="72" customHeight="1" spans="2:14">
      <c r="B26" s="8" t="s">
        <v>238</v>
      </c>
      <c r="C26" s="8" t="s">
        <v>239</v>
      </c>
      <c r="D26" s="14" t="s">
        <v>240</v>
      </c>
      <c r="E26" s="15"/>
      <c r="F26" s="15"/>
      <c r="G26" s="16"/>
      <c r="H26" s="8"/>
      <c r="I26" s="3">
        <v>2</v>
      </c>
      <c r="J26" s="34">
        <v>2</v>
      </c>
      <c r="K26" s="34">
        <v>3</v>
      </c>
      <c r="L26" s="34">
        <v>3</v>
      </c>
      <c r="M26" s="34">
        <v>3</v>
      </c>
      <c r="N26" s="34">
        <v>3</v>
      </c>
    </row>
    <row r="27" ht="83" customHeight="1" spans="2:14">
      <c r="B27" s="8" t="s">
        <v>241</v>
      </c>
      <c r="C27" s="8" t="s">
        <v>242</v>
      </c>
      <c r="D27" s="14" t="s">
        <v>243</v>
      </c>
      <c r="E27" s="15"/>
      <c r="F27" s="15"/>
      <c r="G27" s="16"/>
      <c r="H27" s="8"/>
      <c r="I27" s="3">
        <v>1</v>
      </c>
      <c r="J27" s="34">
        <v>1</v>
      </c>
      <c r="K27" s="34">
        <v>1</v>
      </c>
      <c r="L27" s="34">
        <v>2</v>
      </c>
      <c r="M27" s="34">
        <v>2</v>
      </c>
      <c r="N27" s="34">
        <v>1</v>
      </c>
    </row>
    <row r="28" ht="150" customHeight="1" spans="2:14">
      <c r="B28" s="8" t="s">
        <v>244</v>
      </c>
      <c r="C28" s="17" t="s">
        <v>245</v>
      </c>
      <c r="D28" s="14" t="s">
        <v>246</v>
      </c>
      <c r="E28" s="15"/>
      <c r="F28" s="15"/>
      <c r="G28" s="16"/>
      <c r="H28" s="8"/>
      <c r="I28" s="35">
        <v>4</v>
      </c>
      <c r="J28" s="36">
        <v>4</v>
      </c>
      <c r="K28" s="34">
        <v>4</v>
      </c>
      <c r="L28" s="34">
        <v>4</v>
      </c>
      <c r="M28" s="34">
        <v>4</v>
      </c>
      <c r="N28" s="34">
        <v>4</v>
      </c>
    </row>
    <row r="29" ht="64" customHeight="1" spans="2:14">
      <c r="B29" s="8" t="s">
        <v>247</v>
      </c>
      <c r="C29" s="8" t="s">
        <v>248</v>
      </c>
      <c r="D29" s="14" t="s">
        <v>249</v>
      </c>
      <c r="E29" s="15"/>
      <c r="F29" s="15"/>
      <c r="G29" s="16"/>
      <c r="H29" s="8"/>
      <c r="I29" s="35">
        <v>3</v>
      </c>
      <c r="J29" s="36">
        <v>3</v>
      </c>
      <c r="K29" s="34">
        <v>2</v>
      </c>
      <c r="L29" s="34">
        <v>1</v>
      </c>
      <c r="M29" s="34">
        <v>1</v>
      </c>
      <c r="N29" s="34">
        <v>2</v>
      </c>
    </row>
    <row r="30" ht="57" customHeight="1"/>
    <row r="31" ht="25" customHeight="1"/>
    <row r="32" ht="39" customHeight="1" spans="3:12">
      <c r="C32" s="18" t="s">
        <v>250</v>
      </c>
      <c r="D32" s="10"/>
      <c r="E32" s="10"/>
      <c r="F32" s="10"/>
      <c r="G32" s="10"/>
      <c r="H32" s="10"/>
      <c r="I32" s="10"/>
      <c r="J32" s="10"/>
      <c r="K32" s="10"/>
      <c r="L32" s="10"/>
    </row>
    <row r="33" ht="42" spans="3:12">
      <c r="C33" s="19" t="s">
        <v>206</v>
      </c>
      <c r="D33" s="20" t="s">
        <v>251</v>
      </c>
      <c r="E33" s="21" t="s">
        <v>252</v>
      </c>
      <c r="F33" s="20" t="s">
        <v>253</v>
      </c>
      <c r="G33" s="20" t="s">
        <v>254</v>
      </c>
      <c r="H33" s="21" t="s">
        <v>255</v>
      </c>
      <c r="I33" s="21" t="s">
        <v>256</v>
      </c>
      <c r="J33" s="21" t="s">
        <v>257</v>
      </c>
      <c r="K33" s="37" t="s">
        <v>258</v>
      </c>
      <c r="L33" s="38" t="s">
        <v>259</v>
      </c>
    </row>
    <row r="34" ht="30" customHeight="1" spans="3:12">
      <c r="C34" s="22" t="s">
        <v>260</v>
      </c>
      <c r="D34" s="23">
        <v>14</v>
      </c>
      <c r="E34" s="23">
        <v>3</v>
      </c>
      <c r="F34" s="23">
        <v>2</v>
      </c>
      <c r="G34" s="23">
        <v>1</v>
      </c>
      <c r="H34" s="23">
        <v>1</v>
      </c>
      <c r="I34" s="23">
        <v>1.5</v>
      </c>
      <c r="J34" s="23">
        <v>1.5</v>
      </c>
      <c r="K34" s="39">
        <v>1.5</v>
      </c>
      <c r="L34" s="40">
        <f>SUM(D34:K34)</f>
        <v>25.5</v>
      </c>
    </row>
    <row r="35" spans="3:16">
      <c r="C35" s="1"/>
      <c r="D35" s="24"/>
      <c r="E35" s="25"/>
      <c r="K35" s="25"/>
      <c r="N35" s="25"/>
      <c r="O35" s="25"/>
      <c r="P35" s="25"/>
    </row>
    <row r="36" ht="42" spans="2:20">
      <c r="B36" s="26"/>
      <c r="C36" s="27" t="s">
        <v>261</v>
      </c>
      <c r="D36" s="28" t="s">
        <v>262</v>
      </c>
      <c r="E36" s="29" t="s">
        <v>263</v>
      </c>
      <c r="F36" s="30" t="s">
        <v>264</v>
      </c>
      <c r="G36" s="30" t="s">
        <v>265</v>
      </c>
      <c r="H36" s="30" t="s">
        <v>266</v>
      </c>
      <c r="I36" s="30" t="s">
        <v>267</v>
      </c>
      <c r="J36" s="30" t="s">
        <v>259</v>
      </c>
      <c r="K36" s="41" t="s">
        <v>268</v>
      </c>
      <c r="L36" s="42" t="s">
        <v>269</v>
      </c>
      <c r="M36" s="42" t="s">
        <v>270</v>
      </c>
      <c r="N36" s="41" t="s">
        <v>271</v>
      </c>
      <c r="O36" s="42" t="s">
        <v>255</v>
      </c>
      <c r="P36" s="42" t="s">
        <v>256</v>
      </c>
      <c r="Q36" s="42" t="s">
        <v>257</v>
      </c>
      <c r="R36" s="45" t="s">
        <v>258</v>
      </c>
      <c r="S36" s="45" t="s">
        <v>259</v>
      </c>
      <c r="T36" s="45" t="s">
        <v>272</v>
      </c>
    </row>
    <row r="37" ht="43.5" customHeight="1" spans="2:20">
      <c r="B37" s="26" t="s">
        <v>238</v>
      </c>
      <c r="C37" s="26" t="s">
        <v>239</v>
      </c>
      <c r="D37" s="30"/>
      <c r="E37" s="30"/>
      <c r="F37" s="30"/>
      <c r="G37" s="30"/>
      <c r="H37" s="30"/>
      <c r="I37" s="30"/>
      <c r="J37" s="43"/>
      <c r="K37" s="44">
        <v>1</v>
      </c>
      <c r="L37" s="44">
        <v>1</v>
      </c>
      <c r="M37" s="44">
        <v>0</v>
      </c>
      <c r="N37" s="44">
        <v>1</v>
      </c>
      <c r="O37" s="44">
        <v>1</v>
      </c>
      <c r="P37" s="44">
        <v>1</v>
      </c>
      <c r="Q37" s="44">
        <v>1</v>
      </c>
      <c r="R37" s="46">
        <v>1</v>
      </c>
      <c r="S37" s="47">
        <f>SUMPRODUCT($D$34:$K$34,K37:R37)</f>
        <v>23.5</v>
      </c>
      <c r="T37" s="45">
        <v>2</v>
      </c>
    </row>
    <row r="38" ht="43.5" customHeight="1" spans="2:20">
      <c r="B38" s="26" t="s">
        <v>241</v>
      </c>
      <c r="C38" s="26" t="s">
        <v>242</v>
      </c>
      <c r="D38" s="30"/>
      <c r="E38" s="30"/>
      <c r="F38" s="30"/>
      <c r="G38" s="30"/>
      <c r="H38" s="30"/>
      <c r="I38" s="30"/>
      <c r="J38" s="43"/>
      <c r="K38" s="44">
        <v>0</v>
      </c>
      <c r="L38" s="44">
        <v>1</v>
      </c>
      <c r="M38" s="44">
        <v>0</v>
      </c>
      <c r="N38" s="44">
        <v>1</v>
      </c>
      <c r="O38" s="44">
        <v>1</v>
      </c>
      <c r="P38" s="44">
        <v>1</v>
      </c>
      <c r="Q38" s="44">
        <v>1</v>
      </c>
      <c r="R38" s="46">
        <v>1</v>
      </c>
      <c r="S38" s="47">
        <f>SUMPRODUCT($D$34:$K$34,K38:R38)</f>
        <v>9.5</v>
      </c>
      <c r="T38" s="45">
        <v>1</v>
      </c>
    </row>
    <row r="39" ht="43.5" customHeight="1" spans="2:20">
      <c r="B39" s="26" t="s">
        <v>244</v>
      </c>
      <c r="C39" s="31" t="s">
        <v>245</v>
      </c>
      <c r="D39" s="30"/>
      <c r="E39" s="30"/>
      <c r="F39" s="30"/>
      <c r="G39" s="30"/>
      <c r="H39" s="30"/>
      <c r="I39" s="30"/>
      <c r="J39" s="43"/>
      <c r="K39" s="44">
        <f t="shared" ref="K39:P39" si="0">K37+K38</f>
        <v>1</v>
      </c>
      <c r="L39" s="44">
        <f t="shared" si="0"/>
        <v>2</v>
      </c>
      <c r="M39" s="44">
        <f t="shared" si="0"/>
        <v>0</v>
      </c>
      <c r="N39" s="44">
        <f t="shared" si="0"/>
        <v>2</v>
      </c>
      <c r="O39" s="44">
        <f t="shared" si="0"/>
        <v>2</v>
      </c>
      <c r="P39" s="44">
        <f t="shared" si="0"/>
        <v>2</v>
      </c>
      <c r="Q39" s="44">
        <v>1</v>
      </c>
      <c r="R39" s="46">
        <f>R37+R38</f>
        <v>2</v>
      </c>
      <c r="S39" s="47">
        <f>SUMPRODUCT($D$34:$K$34,K39:R39)</f>
        <v>31.5</v>
      </c>
      <c r="T39" s="45">
        <v>4</v>
      </c>
    </row>
    <row r="40" ht="43.5" customHeight="1" spans="2:20">
      <c r="B40" s="26" t="s">
        <v>247</v>
      </c>
      <c r="C40" s="26" t="s">
        <v>248</v>
      </c>
      <c r="D40" s="30"/>
      <c r="E40" s="30"/>
      <c r="F40" s="30"/>
      <c r="G40" s="30"/>
      <c r="H40" s="30"/>
      <c r="I40" s="30"/>
      <c r="J40" s="43"/>
      <c r="K40" s="44">
        <v>1</v>
      </c>
      <c r="L40" s="44">
        <v>1</v>
      </c>
      <c r="M40" s="44">
        <v>1</v>
      </c>
      <c r="N40" s="44">
        <v>1</v>
      </c>
      <c r="O40" s="44">
        <v>1</v>
      </c>
      <c r="P40" s="44">
        <v>1</v>
      </c>
      <c r="Q40" s="44">
        <v>0</v>
      </c>
      <c r="R40" s="46">
        <v>1</v>
      </c>
      <c r="S40" s="47">
        <f>SUMPRODUCT($D$34:$K$34,K40:R40)</f>
        <v>24</v>
      </c>
      <c r="T40" s="45">
        <v>3</v>
      </c>
    </row>
  </sheetData>
  <mergeCells count="30">
    <mergeCell ref="B1:C1"/>
    <mergeCell ref="G1:I1"/>
    <mergeCell ref="B2:C2"/>
    <mergeCell ref="G2:I2"/>
    <mergeCell ref="B3:C3"/>
    <mergeCell ref="G3:I3"/>
    <mergeCell ref="B4:C4"/>
    <mergeCell ref="G4:I4"/>
    <mergeCell ref="B5:C5"/>
    <mergeCell ref="G5:I5"/>
    <mergeCell ref="B6:C6"/>
    <mergeCell ref="G6:I6"/>
    <mergeCell ref="B7:C7"/>
    <mergeCell ref="G7:I7"/>
    <mergeCell ref="B8:C8"/>
    <mergeCell ref="G8:I8"/>
    <mergeCell ref="B9:C9"/>
    <mergeCell ref="G9:I9"/>
    <mergeCell ref="B10:C10"/>
    <mergeCell ref="G10:I10"/>
    <mergeCell ref="B11:C11"/>
    <mergeCell ref="G11:I11"/>
    <mergeCell ref="B24:N24"/>
    <mergeCell ref="B25:G25"/>
    <mergeCell ref="D26:G26"/>
    <mergeCell ref="D27:G27"/>
    <mergeCell ref="D28:G28"/>
    <mergeCell ref="D29:G29"/>
    <mergeCell ref="C32:L32"/>
    <mergeCell ref="B13:I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V1.0产品定义概念</vt:lpstr>
      <vt:lpstr>用户产品看板-DEMO</vt:lpstr>
      <vt:lpstr>产品定义初版</vt:lpstr>
      <vt:lpstr>产品原型</vt:lpstr>
      <vt:lpstr>技术方案</vt:lpstr>
      <vt:lpstr>资源和成本</vt:lpstr>
      <vt:lpstr>产品规划与业务蓝图</vt:lpstr>
      <vt:lpstr>近期计划表</vt:lpstr>
      <vt:lpstr>供应商信息对比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小目标</cp:lastModifiedBy>
  <dcterms:created xsi:type="dcterms:W3CDTF">2025-02-27T19:58:00Z</dcterms:created>
  <dcterms:modified xsi:type="dcterms:W3CDTF">2025-03-01T07:54:06Z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EBF56E9EEAD346AE9DA05D8235D51D35_12</vt:lpwstr>
  </property>
  <property fmtid="{D5CDD505-2E9C-101B-9397-08002B2CF9AE}" pid="3" name="KSOProductBuildVer">
    <vt:lpwstr>2052-12.1.0.19770</vt:lpwstr>
  </property>
</Properties>
</file>